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13_ncr:1_{A6A2A796-A19C-45C4-9D5F-467E6EF09BBA}" xr6:coauthVersionLast="47" xr6:coauthVersionMax="47" xr10:uidLastSave="{00000000-0000-0000-0000-000000000000}"/>
  <bookViews>
    <workbookView xWindow="12780" yWindow="615" windowWidth="15060" windowHeight="14985" tabRatio="642" activeTab="2" xr2:uid="{00000000-000D-0000-FFFF-FFFF00000000}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4" i="1" l="1"/>
  <c r="A32" i="1"/>
  <c r="A20" i="1"/>
  <c r="A19" i="1"/>
  <c r="A31" i="1"/>
  <c r="A29" i="1"/>
  <c r="A18" i="1"/>
  <c r="A25" i="1"/>
  <c r="A16" i="1"/>
  <c r="A17" i="1"/>
  <c r="A26" i="1"/>
  <c r="A27" i="1"/>
  <c r="A15" i="1"/>
  <c r="A11" i="1"/>
  <c r="A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xr16:uid="{00000000-0015-0000-FFFF-FFFF02000000}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xr16:uid="{00000000-0015-0000-FFFF-FFFF03000000}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xr16:uid="{00000000-0015-0000-FFFF-FFFF04000000}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xr16:uid="{00000000-0015-0000-FFFF-FFFF05000000}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xr16:uid="{00000000-0015-0000-FFFF-FFFF06000000}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xr16:uid="{00000000-0015-0000-FFFF-FFFF07000000}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xr16:uid="{0C1FF584-E8CA-46F3-B311-17FD68167273}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9" xr16:uid="{00000000-0015-0000-FFFF-FFFF08000000}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0" xr16:uid="{00000000-0015-0000-FFFF-FFFF09000000}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1" xr16:uid="{00000000-0015-0000-FFFF-FFFF0A000000}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xr16:uid="{00000000-0015-0000-FFFF-FFFF0B000000}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xr16:uid="{00000000-0015-0000-FFFF-FFFF0C000000}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xr16:uid="{00000000-0015-0000-FFFF-FFFF0D000000}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xr16:uid="{00000000-0015-0000-FFFF-FFFF0E000000}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<sst xmlns="http://schemas.openxmlformats.org/spreadsheetml/2006/main" count="17573" uniqueCount="2389">
  <si>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</si>
  <si>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</si>
  <si>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</si>
  <si>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</si>
  <si>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</si>
  <si>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</si>
  <si>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</si>
  <si>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</si>
  <si>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</si>
  <si>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</si>
  <si>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</si>
  <si>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</si>
  <si>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</si>
  <si>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</si>
  <si>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</si>
  <si>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</si>
  <si>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</si>
  <si>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</si>
  <si>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</si>
  <si>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</si>
  <si>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</si>
  <si>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</si>
  <si>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</si>
  <si>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</si>
  <si>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</si>
  <si>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</si>
  <si>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</si>
  <si>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</si>
  <si>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</si>
  <si>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</si>
  <si>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</si>
  <si>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</si>
  <si>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</si>
  <si>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</si>
  <si>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</si>
  <si>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</si>
  <si>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</si>
  <si>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</si>
  <si>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</si>
  <si>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</si>
  <si>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</si>
  <si>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</si>
  <si>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</si>
  <si>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</si>
  <si>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</si>
  <si>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</si>
  <si>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</si>
  <si>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</si>
  <si>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</si>
  <si>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</si>
  <si>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</si>
  <si>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</si>
  <si>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</si>
  <si>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</si>
  <si>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</si>
  <si>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</si>
  <si>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</si>
  <si>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</si>
  <si>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</si>
  <si>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</si>
  <si>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</si>
  <si>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</si>
  <si>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</si>
  <si>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</si>
  <si>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</si>
  <si>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</si>
  <si>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</si>
  <si>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</si>
  <si>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</si>
  <si>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</si>
  <si>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</si>
  <si>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</si>
  <si>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</si>
  <si>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</si>
  <si>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</si>
  <si>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</si>
  <si>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</si>
  <si>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</si>
  <si>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</si>
  <si>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</si>
  <si>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</si>
  <si>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</si>
  <si>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</si>
  <si>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</si>
  <si>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</si>
  <si>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</si>
  <si>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</si>
  <si>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</si>
  <si>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</si>
  <si>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</si>
  <si>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</si>
  <si>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</si>
  <si>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</si>
  <si>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</si>
  <si>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</si>
  <si>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</si>
  <si>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</si>
  <si>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</si>
  <si>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</si>
  <si>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</si>
  <si>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</si>
  <si>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</si>
  <si>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</si>
  <si>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</si>
  <si>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</si>
  <si>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</si>
  <si>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</si>
  <si>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</si>
  <si>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</si>
  <si>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</si>
  <si>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</si>
  <si>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</si>
  <si>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</si>
  <si>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</si>
  <si>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</si>
  <si>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</si>
  <si>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</si>
  <si>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</si>
  <si>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</si>
  <si>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</si>
  <si>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</si>
  <si>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</si>
  <si>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</si>
  <si>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</si>
  <si>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</si>
  <si>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</si>
  <si>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</si>
  <si>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</si>
  <si>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</si>
  <si>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</si>
  <si>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</si>
  <si>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</si>
  <si>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</si>
  <si>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</si>
  <si>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</si>
  <si>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</si>
  <si>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</si>
  <si>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</si>
  <si>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</si>
  <si>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</si>
  <si>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</si>
  <si>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</si>
  <si>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</si>
  <si>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</si>
  <si>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</si>
  <si>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</si>
  <si>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</si>
  <si>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</si>
  <si>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</si>
  <si>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</si>
  <si>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</si>
  <si>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</si>
  <si>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</si>
  <si>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</si>
  <si>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</si>
  <si>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</si>
  <si>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</si>
  <si>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</si>
  <si>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</si>
  <si>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</si>
  <si>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</si>
  <si>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</si>
  <si>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</si>
  <si>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</si>
  <si>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</si>
  <si>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</si>
  <si>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</si>
  <si>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</si>
  <si>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</si>
  <si>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</si>
  <si>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</si>
  <si>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</si>
  <si>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</si>
  <si>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</si>
  <si>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</si>
  <si>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</si>
  <si>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</si>
  <si>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</si>
  <si>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</si>
  <si>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</si>
  <si>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</si>
  <si>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</si>
  <si>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</si>
  <si>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</si>
  <si>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</si>
  <si>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</si>
  <si>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</si>
  <si>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</si>
  <si>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</si>
  <si>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</si>
  <si>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</si>
  <si>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</si>
  <si>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</si>
  <si>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</si>
  <si>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</si>
  <si>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</si>
  <si>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</si>
  <si>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</si>
  <si>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</si>
  <si>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</si>
  <si>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</si>
  <si>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</si>
  <si>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</si>
  <si>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</si>
  <si>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</si>
  <si>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</si>
  <si>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</si>
  <si>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</si>
  <si>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</si>
  <si>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</si>
  <si>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</si>
  <si>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</si>
  <si>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</si>
  <si>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</si>
  <si>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</si>
  <si>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</si>
  <si>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</si>
  <si>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</si>
  <si>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</si>
  <si>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</si>
  <si>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</si>
  <si>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</si>
  <si>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</si>
  <si>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</si>
  <si>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</si>
  <si>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</si>
  <si>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</si>
  <si>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</si>
  <si>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</si>
  <si>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</si>
  <si>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</si>
  <si>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</si>
  <si>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</si>
  <si>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</si>
  <si>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</si>
  <si>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</si>
  <si>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</si>
  <si>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</si>
  <si>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</si>
  <si>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</si>
  <si>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</si>
  <si>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</si>
  <si>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</si>
  <si>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</si>
  <si>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</si>
  <si>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</si>
  <si>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</si>
  <si>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</si>
  <si>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</si>
  <si>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</si>
  <si>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</si>
  <si>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</si>
  <si>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</si>
  <si>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</si>
  <si>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</si>
  <si>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</si>
  <si>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</si>
  <si>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</si>
  <si>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</si>
  <si>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</si>
  <si>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</si>
  <si>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</si>
  <si>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</si>
  <si>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</si>
  <si>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</si>
  <si>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</si>
  <si>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</si>
  <si>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</si>
  <si>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</si>
  <si>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</si>
  <si>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</si>
  <si>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</si>
  <si>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</si>
  <si>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</si>
  <si>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</si>
  <si>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</si>
  <si>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</si>
  <si>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</si>
  <si>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</si>
  <si>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</si>
  <si>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</si>
  <si>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</si>
  <si>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</si>
  <si>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</si>
  <si>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</si>
  <si>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</si>
  <si>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</si>
  <si>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</si>
  <si>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</si>
  <si>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</si>
  <si>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</si>
  <si>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</si>
  <si>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</si>
  <si>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</si>
  <si>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</si>
  <si>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</si>
  <si>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</si>
  <si>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</si>
  <si>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</si>
  <si>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</si>
  <si>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</si>
  <si>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</si>
  <si>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</si>
  <si>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</si>
  <si>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</si>
  <si>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</si>
  <si>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</si>
  <si>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</si>
  <si>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</si>
  <si>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</si>
  <si>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</si>
  <si>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</si>
  <si>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</si>
  <si>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</si>
  <si>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</si>
  <si>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</si>
  <si>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</si>
  <si>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</si>
  <si>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</si>
  <si>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</si>
  <si>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</si>
  <si>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</si>
  <si>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</si>
  <si>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</si>
  <si>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</si>
  <si>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</si>
  <si>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</si>
  <si>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</si>
  <si>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</si>
  <si>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</si>
  <si>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</si>
  <si>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</si>
  <si>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</si>
  <si>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</si>
  <si>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</si>
  <si>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</si>
  <si>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</si>
  <si>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</si>
  <si>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</si>
  <si>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</si>
  <si>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</si>
  <si>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</si>
  <si>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</si>
  <si>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</si>
  <si>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</si>
  <si>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</si>
  <si>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</si>
  <si>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</si>
  <si>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</si>
  <si>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</si>
  <si>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</si>
  <si>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</si>
  <si>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</si>
  <si>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</si>
  <si>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</si>
  <si>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</si>
  <si>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</si>
  <si>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</si>
  <si>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</si>
  <si>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</si>
  <si>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</si>
  <si>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</si>
  <si>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</si>
  <si>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</si>
  <si>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</si>
  <si>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</si>
  <si>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</si>
  <si>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</si>
  <si>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</si>
  <si>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</si>
  <si>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</si>
  <si>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</si>
  <si>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</si>
  <si>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</si>
  <si>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</si>
  <si>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</si>
  <si>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</si>
  <si>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</si>
  <si>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</si>
  <si>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</si>
  <si>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</si>
  <si>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</si>
  <si>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</si>
  <si>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</si>
  <si>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</si>
  <si>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</si>
  <si>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</si>
  <si>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</si>
  <si>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</si>
  <si>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</si>
  <si>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</si>
  <si>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</si>
  <si>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</si>
  <si>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</si>
  <si>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</si>
  <si>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</si>
  <si>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</si>
  <si>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</si>
  <si>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</si>
  <si>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</si>
  <si>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</si>
  <si>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</si>
  <si>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</si>
  <si>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</si>
  <si>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</si>
  <si>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</si>
  <si>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</si>
  <si>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</si>
  <si>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</si>
  <si>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</si>
  <si>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</si>
  <si>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</si>
  <si>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</si>
  <si>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</si>
  <si>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</si>
  <si>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</si>
  <si>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</si>
  <si>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</si>
  <si>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</si>
  <si>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</si>
  <si>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</si>
  <si>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</si>
  <si>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</si>
  <si>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</si>
  <si>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</si>
  <si>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</si>
  <si>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</si>
  <si>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</si>
  <si>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</si>
  <si>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</si>
  <si>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</si>
  <si>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</si>
  <si>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</si>
  <si>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</si>
  <si>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</si>
  <si>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</si>
  <si>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</si>
  <si>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</si>
  <si>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</si>
  <si>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</si>
  <si>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</si>
  <si>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</si>
  <si>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</si>
  <si>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</si>
  <si>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</si>
  <si>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</si>
  <si>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</si>
  <si>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</si>
  <si>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</si>
  <si>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</si>
  <si>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</si>
  <si>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</si>
  <si>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</si>
  <si>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</si>
  <si>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</si>
  <si>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</si>
  <si>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</si>
  <si>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</si>
  <si>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</si>
  <si>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</si>
  <si>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</si>
  <si>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</si>
  <si>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</si>
  <si>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</si>
  <si>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</si>
  <si>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</si>
  <si>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</si>
  <si>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</si>
  <si>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</si>
  <si>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</si>
  <si>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</si>
  <si>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</si>
  <si>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</si>
  <si>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</si>
  <si>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</si>
  <si>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</si>
  <si>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</si>
  <si>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</si>
  <si>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</si>
  <si>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</si>
  <si>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</si>
  <si>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</si>
  <si>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</si>
  <si>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</si>
  <si>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</si>
  <si>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</si>
  <si>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</si>
  <si>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</si>
  <si>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</si>
  <si>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</si>
  <si>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</si>
  <si>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</si>
  <si>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</si>
  <si>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</si>
  <si>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</si>
  <si>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</si>
  <si>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</si>
  <si>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</si>
  <si>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</si>
  <si>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</si>
  <si>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</si>
  <si>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</si>
  <si>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</si>
  <si>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</si>
  <si>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</si>
  <si>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</si>
  <si>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</si>
  <si>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</si>
  <si>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</si>
  <si>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</si>
  <si>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</si>
  <si>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</si>
  <si>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</si>
  <si>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</si>
  <si>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</si>
  <si>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</si>
  <si>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</si>
  <si>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</si>
  <si>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</si>
  <si>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</si>
  <si>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</si>
  <si>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</si>
  <si>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</si>
  <si>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</si>
  <si>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</si>
  <si>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</si>
  <si>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</si>
  <si>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</si>
  <si>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</si>
  <si>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</si>
  <si>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</si>
  <si>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</si>
  <si>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</si>
  <si>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</si>
  <si>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</si>
  <si>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</si>
  <si>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</si>
  <si>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</si>
  <si>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</si>
  <si>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</si>
  <si>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</si>
  <si>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</si>
  <si>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</si>
  <si>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</si>
  <si>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</si>
  <si>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</si>
  <si>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</si>
  <si>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</si>
  <si>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</si>
  <si>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</si>
  <si>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</si>
  <si>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</si>
  <si>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</si>
  <si>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</si>
  <si>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</si>
  <si>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</si>
  <si>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</si>
  <si>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</si>
  <si>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</si>
  <si>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</si>
  <si>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</si>
  <si>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</si>
  <si>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</si>
  <si>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</si>
  <si>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</si>
  <si>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</si>
  <si>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</si>
  <si>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</si>
  <si>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</si>
  <si>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</si>
  <si>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</si>
  <si>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</si>
  <si>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</si>
  <si>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</si>
  <si>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</si>
  <si>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</si>
  <si>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</si>
  <si>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</si>
  <si>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</si>
  <si>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</si>
  <si>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</si>
  <si>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</si>
  <si>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</si>
  <si>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</si>
  <si>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</si>
  <si>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</si>
  <si>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</si>
  <si>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</si>
  <si>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</si>
  <si>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</si>
  <si>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</si>
  <si>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</si>
  <si>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</si>
  <si>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</si>
  <si>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</si>
  <si>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</si>
  <si>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</si>
  <si>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</si>
  <si>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</si>
  <si>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</si>
  <si>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</si>
  <si>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</si>
  <si>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</si>
  <si>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</si>
  <si>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</si>
  <si>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</si>
  <si>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</si>
  <si>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</si>
  <si>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</si>
  <si>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</si>
  <si>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</si>
  <si>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</si>
  <si>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</si>
  <si>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</si>
  <si>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</si>
  <si>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</si>
  <si>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</si>
  <si>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</si>
  <si>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</si>
  <si>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</si>
  <si>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</si>
  <si>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</si>
  <si>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</si>
  <si>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</si>
  <si>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</si>
  <si>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</si>
  <si>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</si>
  <si>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</si>
  <si>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</si>
  <si>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</si>
  <si>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</si>
  <si>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</si>
  <si>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</si>
  <si>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</si>
  <si>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</si>
  <si>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</si>
  <si>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</si>
  <si>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</si>
  <si>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</si>
  <si>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</si>
  <si>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</si>
  <si>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</si>
  <si>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</si>
  <si>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</si>
  <si>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</si>
  <si>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</si>
  <si>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</si>
  <si>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</si>
  <si>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</si>
  <si>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</si>
  <si>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</si>
  <si>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</si>
  <si>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</si>
  <si>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</si>
  <si>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</si>
  <si>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</si>
  <si>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</si>
  <si>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</si>
  <si>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</si>
  <si>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</si>
  <si>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</si>
  <si>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</si>
  <si>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</si>
  <si>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</si>
  <si>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</si>
  <si>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</si>
  <si>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</si>
  <si>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</si>
  <si>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</si>
  <si>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</si>
  <si>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</si>
  <si>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</si>
  <si>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</si>
  <si>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</si>
  <si>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</si>
  <si>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</si>
  <si>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</si>
  <si>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</si>
  <si>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</si>
  <si>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</si>
  <si>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</si>
  <si>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</si>
  <si>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</si>
  <si>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</si>
  <si>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</si>
  <si>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</si>
  <si>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</si>
  <si>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</si>
  <si>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</si>
  <si>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</si>
  <si>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</si>
  <si>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</si>
  <si>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</si>
  <si>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</si>
  <si>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</si>
  <si>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</si>
  <si>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</si>
  <si>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</si>
  <si>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</si>
  <si>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</si>
  <si>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</si>
  <si>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</si>
  <si>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</si>
  <si>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</si>
  <si>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</si>
  <si>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</si>
  <si>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</si>
  <si>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</si>
  <si>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</si>
  <si>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</si>
  <si>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</si>
  <si>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</si>
  <si>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</si>
  <si>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</si>
  <si>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</si>
  <si>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</si>
  <si>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</si>
  <si>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</si>
  <si>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</si>
  <si>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</si>
  <si>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</si>
  <si>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</si>
  <si>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</si>
  <si>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</si>
  <si>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</si>
  <si>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</si>
  <si>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</si>
  <si>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</si>
  <si>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</si>
  <si>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</si>
  <si>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</si>
  <si>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</si>
  <si>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</si>
  <si>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</si>
  <si>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</si>
  <si>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</si>
  <si>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</si>
  <si>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</si>
  <si>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</si>
  <si>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</si>
  <si>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</si>
  <si>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</si>
  <si>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</si>
  <si>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</si>
  <si>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</si>
  <si>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</si>
  <si>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</si>
  <si>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</si>
  <si>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</si>
  <si>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</si>
  <si>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</si>
  <si>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</si>
  <si>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</si>
  <si>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</si>
  <si>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</si>
  <si>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</si>
  <si>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</si>
  <si>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</si>
  <si>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</si>
  <si>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</si>
  <si>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</si>
  <si>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</si>
  <si>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</si>
  <si>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</si>
  <si>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</si>
  <si>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</si>
  <si>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</si>
  <si>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</si>
  <si>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</si>
  <si>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</si>
  <si>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</si>
  <si>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</si>
  <si>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</si>
  <si>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</si>
  <si>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</si>
  <si>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</si>
  <si>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</si>
  <si>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</si>
  <si>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</si>
  <si>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</si>
  <si>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</si>
  <si>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</si>
  <si>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</si>
  <si>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</si>
  <si>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</si>
  <si>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</si>
  <si>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</si>
  <si>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</si>
  <si>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</si>
  <si>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</si>
  <si>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</si>
  <si>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</si>
  <si>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</si>
  <si>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</si>
  <si>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</si>
  <si>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</si>
  <si>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</si>
  <si>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</si>
  <si>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</si>
  <si>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</si>
  <si>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</si>
  <si>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</si>
  <si>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</si>
  <si>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</si>
  <si>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</si>
  <si>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</si>
  <si>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</si>
  <si>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</si>
  <si>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</si>
  <si>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</si>
  <si>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</si>
  <si>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</si>
  <si>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</si>
  <si>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</si>
  <si>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</si>
  <si>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</si>
  <si>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</si>
  <si>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</si>
  <si>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</si>
  <si>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</si>
  <si>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</si>
  <si>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</si>
  <si>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</si>
  <si>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</si>
  <si>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</si>
  <si>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</si>
  <si>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</si>
  <si>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</si>
  <si>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</si>
  <si>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</si>
  <si>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</si>
  <si>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</si>
  <si>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</si>
  <si>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</si>
  <si>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</si>
  <si>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</si>
  <si>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</si>
  <si>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</si>
  <si>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</si>
  <si>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</si>
  <si>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</si>
  <si>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</si>
  <si>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</si>
  <si>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</si>
  <si>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</si>
  <si>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</si>
  <si>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</si>
  <si>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</si>
  <si>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</si>
  <si>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</si>
  <si>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</si>
  <si>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</si>
  <si>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</si>
  <si>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</si>
  <si>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</si>
  <si>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</si>
  <si>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</si>
  <si>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</si>
  <si>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</si>
  <si>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</si>
  <si>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</si>
  <si>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</si>
  <si>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</si>
  <si>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</si>
  <si>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</si>
  <si>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</si>
  <si>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</si>
  <si>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</si>
  <si>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</si>
  <si>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</si>
  <si>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</si>
  <si>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</si>
  <si>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</si>
  <si>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</si>
  <si>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</si>
  <si>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</si>
  <si>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</si>
  <si>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</si>
  <si>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</si>
  <si>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</si>
  <si>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</si>
  <si>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</si>
  <si>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</si>
  <si>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</si>
  <si>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</si>
  <si>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</si>
  <si>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</si>
  <si>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</si>
  <si>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</si>
  <si>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</si>
  <si>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</si>
  <si>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</si>
  <si>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</si>
  <si>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</si>
  <si>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</si>
  <si>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</si>
  <si>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</si>
  <si>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</si>
  <si>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</si>
  <si>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</si>
  <si>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</si>
  <si>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</si>
  <si>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</si>
  <si>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</si>
  <si>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</si>
  <si>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</si>
  <si>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</si>
  <si>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</si>
  <si>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</si>
  <si>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</si>
  <si>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</si>
  <si>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</si>
  <si>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</si>
  <si>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</si>
  <si>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</si>
  <si>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</si>
  <si>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</si>
  <si>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</si>
  <si>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</si>
  <si>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</si>
  <si>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</si>
  <si>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</si>
  <si>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</si>
  <si>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</si>
  <si>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</si>
  <si>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</si>
  <si>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</si>
  <si>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</si>
  <si>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</si>
  <si>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</si>
  <si>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</si>
  <si>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</si>
  <si>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</si>
  <si>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</si>
  <si>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</si>
  <si>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</si>
  <si>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</si>
  <si>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</si>
  <si>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</si>
  <si>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</si>
  <si>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</si>
  <si>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</si>
  <si>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</si>
  <si>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</si>
  <si>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</si>
  <si>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</si>
  <si>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</si>
  <si>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</si>
  <si>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</si>
  <si>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</si>
  <si>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</si>
  <si>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</si>
  <si>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</si>
  <si>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</si>
  <si>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</si>
  <si>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</si>
  <si>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</si>
  <si>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</si>
  <si>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</si>
  <si>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</si>
  <si>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</si>
  <si>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</si>
  <si>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</si>
  <si>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</si>
  <si>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</si>
  <si>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</si>
  <si>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</si>
  <si>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</si>
  <si>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</si>
  <si>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</si>
  <si>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</si>
  <si>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</si>
  <si>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</si>
  <si>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</si>
  <si>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</si>
  <si>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</si>
  <si>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</si>
  <si>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</si>
  <si>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</si>
  <si>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</si>
  <si>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</si>
  <si>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</si>
  <si>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</si>
  <si>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</si>
  <si>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</si>
  <si>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</si>
  <si>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</si>
  <si>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</si>
  <si>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</si>
  <si>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</si>
  <si>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</si>
  <si>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</si>
  <si>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</si>
  <si>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</si>
  <si>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</si>
  <si>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</si>
  <si>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</si>
  <si>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</si>
  <si>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</si>
  <si>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</si>
  <si>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</si>
  <si>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</si>
  <si>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</si>
  <si>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</si>
  <si>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</si>
  <si>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</si>
  <si>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</si>
  <si>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</si>
  <si>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</si>
  <si>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</si>
  <si>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</si>
  <si>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</si>
  <si>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</si>
  <si>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</si>
  <si>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</si>
  <si>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</si>
  <si>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</si>
  <si>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</si>
  <si>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</si>
  <si>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</si>
  <si>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</si>
  <si>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</si>
  <si>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</si>
  <si>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</si>
  <si>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</si>
  <si>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</si>
  <si>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</si>
  <si>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</si>
  <si>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</si>
  <si>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</si>
  <si>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</si>
  <si>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</si>
  <si>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</si>
  <si>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</si>
  <si>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</si>
  <si>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</si>
  <si>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</si>
  <si>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</si>
  <si>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</si>
  <si>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</si>
  <si>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</si>
  <si>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</si>
  <si>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</si>
  <si>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</si>
  <si>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</si>
  <si>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</si>
  <si>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</si>
  <si>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</si>
  <si>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</si>
  <si>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</si>
  <si>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</si>
  <si>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</si>
  <si>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</si>
  <si>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</si>
  <si>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</si>
  <si>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</si>
  <si>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</si>
  <si>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</si>
  <si>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</si>
  <si>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</si>
  <si>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</si>
  <si>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</si>
  <si>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</si>
  <si>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</si>
  <si>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</si>
  <si>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</si>
  <si>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</si>
  <si>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</si>
  <si>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</si>
  <si>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</si>
  <si>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</si>
  <si>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</si>
  <si>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</si>
  <si>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</si>
  <si>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</si>
  <si>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</si>
  <si>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</si>
  <si>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</si>
  <si>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</si>
  <si>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</si>
  <si>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</si>
  <si>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</si>
  <si>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</si>
  <si>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</si>
  <si>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</si>
  <si>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</si>
  <si>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</si>
  <si>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</si>
  <si>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</si>
  <si>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</si>
  <si>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</si>
  <si>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</si>
  <si>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</si>
  <si>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</si>
  <si>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</si>
  <si>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</si>
  <si>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</si>
  <si>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</si>
  <si>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</si>
  <si>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</si>
  <si>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</si>
  <si>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</si>
  <si>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</si>
  <si>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</si>
  <si>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</si>
  <si>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</si>
  <si>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</si>
  <si>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</si>
  <si>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</si>
  <si>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</si>
  <si>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</si>
  <si>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</si>
  <si>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</si>
  <si>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</si>
  <si>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</si>
  <si>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</si>
  <si>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</si>
  <si>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</si>
  <si>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</si>
  <si>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</si>
  <si>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</si>
  <si>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</si>
  <si>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</si>
  <si>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</si>
  <si>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</si>
  <si>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</si>
  <si>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</si>
  <si>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</si>
  <si>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</si>
  <si>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</si>
  <si>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</si>
  <si>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</si>
  <si>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</si>
  <si>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</si>
  <si>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</si>
  <si>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</si>
  <si>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</si>
  <si>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</si>
  <si>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</si>
  <si>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</si>
  <si>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</si>
  <si>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</si>
  <si>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</si>
  <si>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</si>
  <si>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</si>
  <si>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</si>
  <si>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</si>
  <si>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</si>
  <si>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</si>
  <si>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</si>
  <si>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</si>
  <si>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</si>
  <si>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</si>
  <si>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</si>
  <si>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</si>
  <si>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</si>
  <si>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</si>
  <si>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</si>
  <si>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</si>
  <si>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</si>
  <si>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</si>
  <si>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</si>
  <si>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</si>
  <si>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</si>
  <si>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</si>
  <si>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</si>
  <si>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</si>
  <si>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</si>
  <si>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</si>
  <si>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</si>
  <si>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</si>
  <si>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</si>
  <si>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</si>
  <si>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</si>
  <si>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</si>
  <si>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</si>
  <si>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</si>
  <si>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</si>
  <si>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</si>
  <si>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</si>
  <si>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</si>
  <si>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</si>
  <si>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</si>
  <si>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</si>
  <si>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</si>
  <si>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</si>
  <si>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</si>
  <si>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</si>
  <si>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</si>
  <si>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</si>
  <si>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</si>
  <si>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</si>
  <si>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</si>
  <si>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</si>
  <si>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</si>
  <si>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</si>
  <si>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</si>
  <si>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</si>
  <si>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</si>
  <si>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</si>
  <si>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</si>
  <si>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</si>
  <si>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</si>
  <si>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</si>
  <si>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</si>
  <si>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</si>
  <si>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</si>
  <si>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</si>
  <si>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</si>
  <si>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</si>
  <si>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</si>
  <si>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</si>
  <si>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</si>
  <si>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</si>
  <si>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</si>
  <si>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</si>
  <si>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</si>
  <si>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</si>
  <si>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</si>
  <si>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</si>
  <si>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</si>
  <si>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</si>
  <si>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</si>
  <si>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</si>
  <si>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</si>
  <si>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</si>
  <si>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</si>
  <si>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</si>
  <si>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</si>
  <si>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</si>
  <si>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</si>
  <si>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</si>
  <si>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</si>
  <si>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</si>
  <si>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</si>
  <si>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</si>
  <si>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</si>
  <si>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</si>
  <si>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</si>
  <si>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</si>
  <si>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</si>
  <si>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</si>
  <si>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</si>
  <si>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</si>
  <si>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</si>
  <si>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</si>
  <si>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</si>
  <si>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</si>
  <si>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</si>
  <si>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</si>
  <si>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</si>
  <si>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</si>
  <si>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</si>
  <si>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</si>
  <si>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</si>
  <si>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</si>
  <si>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</si>
  <si>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</si>
  <si>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</si>
  <si>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</si>
  <si>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</si>
  <si>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</si>
  <si>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</si>
  <si>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</si>
  <si>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</si>
  <si>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</si>
  <si>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</si>
  <si>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</si>
  <si>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</si>
  <si>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</si>
  <si>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</si>
  <si>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</si>
  <si>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</si>
  <si>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</si>
  <si>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</si>
  <si>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</si>
  <si>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</si>
  <si>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</si>
  <si>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</si>
  <si>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</si>
  <si>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</si>
  <si>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</si>
  <si>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</si>
  <si>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</si>
  <si>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</si>
  <si>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</si>
  <si>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</si>
  <si>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</si>
  <si>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</si>
  <si>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</si>
  <si>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</si>
  <si>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</si>
  <si>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</si>
  <si>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</si>
  <si>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</si>
  <si>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</si>
  <si>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</si>
  <si>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</si>
  <si>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</si>
  <si>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</si>
  <si>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</si>
  <si>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</si>
  <si>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</si>
  <si>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</si>
  <si>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</si>
  <si>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</si>
  <si>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</si>
  <si>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</si>
  <si>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</si>
  <si>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</si>
  <si>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</si>
  <si>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</si>
  <si>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</si>
  <si>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</si>
  <si>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</si>
  <si>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</si>
  <si>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</si>
  <si>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</si>
  <si>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</si>
  <si>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</si>
  <si>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</si>
  <si>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</si>
  <si>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</si>
  <si>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</si>
  <si>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</si>
  <si>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</si>
  <si>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</si>
  <si>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</si>
  <si>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</si>
  <si>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</si>
  <si>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</si>
  <si>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</si>
  <si>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</si>
  <si>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</si>
  <si>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</si>
  <si>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</si>
  <si>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</si>
  <si>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</si>
  <si>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</si>
  <si>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</si>
  <si>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</si>
  <si>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</si>
  <si>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</si>
  <si>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</si>
  <si>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</si>
  <si>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</si>
  <si>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</si>
  <si>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</si>
  <si>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</si>
  <si>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</si>
  <si>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</si>
  <si>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</si>
  <si>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</si>
  <si>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</si>
  <si>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</si>
  <si>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</si>
  <si>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</si>
  <si>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</si>
  <si>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</si>
  <si>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</si>
  <si>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</si>
  <si>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</si>
  <si>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</si>
  <si>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</si>
  <si>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</si>
  <si>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</si>
  <si>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</si>
  <si>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</si>
  <si>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</si>
  <si>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</si>
  <si>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</si>
  <si>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</si>
  <si>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</si>
  <si>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</si>
  <si>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</si>
  <si>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</si>
  <si>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</si>
  <si>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</si>
  <si>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</si>
  <si>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</si>
  <si>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</si>
  <si>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</si>
  <si>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</si>
  <si>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</si>
  <si>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</si>
  <si>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</si>
  <si>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</si>
  <si>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</si>
  <si>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</si>
  <si>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</si>
  <si>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</si>
  <si>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</si>
  <si>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</si>
  <si>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</si>
  <si>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</si>
  <si>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</si>
  <si>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</si>
  <si>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</si>
  <si>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</si>
  <si>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</si>
  <si>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</si>
  <si>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</si>
  <si>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</si>
  <si>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</si>
  <si>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</si>
  <si>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</si>
  <si>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</si>
  <si>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</si>
  <si>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</si>
  <si>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</si>
  <si>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</si>
  <si>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</si>
  <si>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</si>
  <si>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</si>
  <si>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</si>
  <si>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</si>
  <si>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</si>
  <si>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</si>
  <si>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</si>
  <si>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</si>
  <si>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</si>
  <si>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</si>
  <si>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</si>
  <si>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</si>
  <si>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</si>
  <si>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</si>
  <si>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</si>
  <si>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</si>
  <si>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</si>
  <si>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</si>
  <si>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</si>
  <si>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</si>
  <si>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</si>
  <si>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</si>
  <si>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</si>
  <si>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</si>
  <si>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</si>
  <si>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</si>
  <si>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</si>
  <si>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</si>
  <si>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</si>
  <si>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</si>
  <si>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</si>
  <si>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</si>
  <si>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</si>
  <si>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</si>
  <si>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</si>
  <si>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</si>
  <si>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</si>
  <si>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</si>
  <si>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</si>
  <si>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</si>
  <si>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</si>
  <si>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</si>
  <si>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</si>
  <si>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</si>
  <si>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</si>
  <si>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</si>
  <si>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</si>
  <si>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</si>
  <si>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</si>
  <si>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</si>
  <si>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</si>
  <si>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</si>
  <si>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</si>
  <si>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</si>
  <si>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</si>
  <si>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</si>
  <si>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</si>
  <si>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</si>
  <si>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</si>
  <si>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</si>
  <si>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</si>
  <si>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</si>
  <si>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</si>
  <si>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</si>
  <si>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</si>
  <si>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</si>
  <si>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</si>
  <si>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</si>
  <si>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</si>
  <si>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</si>
  <si>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</si>
  <si>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</si>
  <si>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</si>
  <si>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</si>
  <si>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</si>
  <si>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</si>
  <si>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</si>
  <si>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</si>
  <si>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</si>
  <si>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</si>
  <si>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</si>
  <si>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</si>
  <si>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</si>
  <si>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</si>
  <si>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</si>
  <si>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</si>
  <si>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</si>
  <si>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</si>
  <si>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</si>
  <si>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</si>
  <si>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</si>
  <si>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</si>
  <si>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</si>
  <si>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</si>
  <si>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</si>
  <si>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</si>
  <si>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</si>
  <si>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</si>
  <si>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</si>
  <si>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</si>
  <si>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</si>
  <si>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</si>
  <si>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</si>
  <si>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</si>
  <si>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</si>
  <si>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</si>
  <si>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</si>
  <si>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</si>
  <si>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</si>
  <si>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</si>
  <si>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</si>
  <si>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</si>
  <si>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</si>
  <si>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</si>
  <si>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</si>
  <si>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</si>
  <si>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</si>
  <si>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</si>
  <si>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</si>
  <si>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</si>
  <si>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</si>
  <si>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</si>
  <si>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</si>
  <si>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</si>
  <si>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</si>
  <si>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</si>
  <si>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</si>
  <si>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</si>
  <si>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</si>
  <si>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</si>
  <si>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</si>
  <si>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</si>
  <si>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</si>
  <si>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</si>
  <si>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</si>
  <si>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</si>
  <si>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</si>
  <si>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</si>
  <si>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</si>
  <si>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</si>
  <si>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</si>
  <si>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</si>
  <si>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</si>
  <si>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</si>
  <si>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</si>
  <si>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</si>
  <si>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</si>
  <si>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</si>
  <si>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</si>
  <si>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</si>
  <si>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</si>
  <si>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</si>
  <si>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</si>
  <si>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</si>
  <si>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</si>
  <si>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</si>
  <si>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</si>
  <si>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</si>
  <si>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</si>
  <si>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</si>
  <si>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</si>
  <si>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</si>
  <si>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</si>
  <si>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</si>
  <si>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</si>
  <si>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</si>
  <si>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</si>
  <si>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</si>
  <si>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</si>
  <si>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</si>
  <si>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</si>
  <si>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</si>
  <si>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</si>
  <si>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</si>
  <si>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</si>
  <si>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</si>
  <si>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</si>
  <si>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</si>
  <si>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</si>
  <si>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</si>
  <si>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</si>
  <si>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</si>
  <si>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</si>
  <si>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</si>
  <si>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</si>
  <si>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</si>
  <si>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</si>
  <si>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</si>
  <si>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</si>
  <si>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</si>
  <si>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</si>
  <si>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</si>
  <si>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</si>
  <si>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</si>
  <si>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</si>
  <si>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</si>
  <si>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</si>
  <si>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</si>
  <si>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</si>
  <si>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</si>
  <si>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</si>
  <si>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</si>
  <si>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</si>
  <si>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</si>
  <si>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</si>
  <si>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</si>
  <si>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</si>
  <si>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</si>
  <si>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</si>
  <si>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</si>
  <si>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</si>
  <si>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</si>
  <si>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</si>
  <si>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</si>
  <si>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</si>
  <si>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</si>
  <si>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</si>
  <si>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</si>
  <si>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</si>
  <si>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</si>
  <si>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</si>
  <si>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</si>
  <si>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</si>
  <si>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</si>
  <si>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</si>
  <si>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</si>
  <si>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</si>
  <si>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</si>
  <si>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</si>
  <si>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</si>
  <si>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</si>
  <si>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</si>
  <si>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</si>
  <si>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</si>
  <si>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</si>
  <si>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</si>
  <si>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</si>
  <si>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</si>
  <si>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</si>
  <si>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</si>
  <si>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</si>
  <si>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</si>
  <si>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</si>
  <si>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</si>
  <si>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</si>
  <si>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</si>
  <si>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</si>
  <si>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</si>
  <si>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</si>
  <si>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</si>
  <si>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</si>
  <si>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</si>
  <si>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</si>
  <si>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</si>
  <si>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</si>
  <si>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</si>
  <si>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</si>
  <si>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</si>
  <si>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</si>
  <si>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</si>
  <si>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</si>
  <si>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</si>
  <si>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</si>
  <si>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</si>
  <si>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</si>
  <si>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</si>
  <si>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</si>
  <si>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</si>
  <si>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</si>
  <si>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</si>
  <si>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</si>
  <si>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</si>
  <si>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</si>
  <si>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</si>
  <si>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</si>
  <si>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</si>
  <si>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</si>
  <si>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</si>
  <si>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</si>
  <si>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</si>
  <si>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</si>
  <si>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</si>
  <si>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</si>
  <si>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</si>
  <si>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</si>
  <si>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</si>
  <si>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</si>
  <si>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</si>
  <si>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</si>
  <si>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</si>
  <si>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</si>
  <si>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</si>
  <si>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</si>
  <si>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</si>
  <si>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</si>
  <si>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</si>
  <si>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</si>
  <si>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</si>
  <si>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</si>
  <si>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</si>
  <si>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</si>
  <si>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</si>
  <si>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</si>
  <si>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</si>
  <si>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</si>
  <si>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</si>
  <si>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</si>
  <si>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</si>
  <si>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</si>
  <si>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</si>
  <si>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</si>
  <si>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</si>
  <si>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</si>
  <si>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</si>
  <si>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</si>
  <si>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</si>
  <si>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</si>
  <si>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</si>
  <si>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</si>
  <si>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</si>
  <si>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</si>
  <si>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</si>
  <si>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</si>
  <si>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</si>
  <si>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</si>
  <si>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</si>
  <si>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</si>
  <si>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</si>
  <si>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</si>
  <si>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</si>
  <si>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</si>
  <si>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</si>
  <si>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</si>
  <si>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</si>
  <si>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</si>
  <si>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</si>
  <si>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</si>
  <si>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</si>
  <si>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</si>
  <si>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</si>
  <si>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</si>
  <si>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</si>
  <si>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</si>
  <si>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</si>
  <si>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</si>
  <si>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</si>
  <si>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</si>
  <si>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</si>
  <si>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</si>
  <si>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</si>
  <si>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</si>
  <si>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</si>
  <si>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</si>
  <si>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</si>
  <si>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</si>
  <si>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</si>
  <si>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</si>
  <si>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</si>
  <si>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</si>
  <si>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</si>
  <si>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</si>
  <si>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</si>
  <si>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</si>
  <si>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</si>
  <si>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</si>
  <si>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</si>
  <si>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</si>
  <si>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</si>
  <si>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</si>
  <si>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</si>
  <si>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</si>
  <si>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</si>
  <si>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</si>
  <si>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</si>
  <si>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</si>
  <si>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</si>
  <si>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</si>
  <si>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</si>
  <si>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</si>
  <si>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</si>
  <si>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</si>
  <si>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</si>
  <si>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</si>
  <si>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</si>
  <si>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</si>
  <si>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</si>
  <si>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</si>
  <si>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</si>
  <si>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</si>
  <si>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</si>
  <si>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</si>
  <si>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</si>
  <si>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</si>
  <si>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</si>
  <si>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</si>
  <si>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</si>
  <si>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</si>
  <si>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</si>
  <si>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</si>
  <si>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</si>
  <si>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</si>
  <si>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</si>
  <si>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</si>
  <si>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</si>
  <si>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</si>
  <si>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</si>
  <si>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</si>
  <si>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</si>
  <si>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</si>
  <si>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</si>
  <si>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</si>
  <si>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</si>
  <si>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</si>
  <si>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</si>
  <si>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</si>
  <si>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</si>
  <si>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</si>
  <si>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</si>
  <si>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</si>
  <si>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</si>
  <si>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</si>
  <si>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</si>
  <si>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</si>
  <si>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</si>
  <si>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</si>
  <si>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</si>
  <si>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</si>
  <si>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</si>
  <si>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</si>
  <si>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</si>
  <si>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</si>
  <si>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</si>
  <si>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</si>
  <si>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</si>
  <si>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</si>
  <si>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</si>
  <si>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</si>
  <si>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</si>
  <si>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</si>
  <si>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</si>
  <si>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</si>
  <si>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</si>
  <si>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</si>
  <si>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</si>
  <si>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</si>
  <si>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</si>
  <si>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</si>
  <si>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</si>
  <si>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</si>
  <si>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</si>
  <si>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</si>
  <si>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</si>
  <si>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</si>
  <si>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</si>
  <si>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</si>
  <si>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</si>
  <si>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</si>
  <si>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</si>
  <si>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</si>
  <si>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</si>
  <si>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</si>
  <si>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</si>
  <si>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</si>
  <si>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</si>
  <si>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</si>
  <si>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</si>
  <si>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</si>
  <si>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</si>
  <si>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</si>
  <si>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</si>
  <si>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</si>
  <si>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</si>
  <si>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</si>
  <si>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</si>
  <si>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</si>
  <si>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</si>
  <si>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</si>
  <si>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</si>
  <si>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</si>
  <si>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</si>
  <si>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</si>
  <si>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</si>
  <si>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</si>
  <si>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</si>
  <si>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</si>
  <si>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</si>
  <si>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</si>
  <si>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</si>
  <si>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</si>
  <si>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</si>
  <si>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</si>
  <si>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</si>
  <si>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</si>
  <si>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</si>
  <si>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</si>
  <si>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</si>
  <si>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</si>
  <si>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</si>
  <si>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</si>
  <si>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</si>
  <si>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</si>
  <si>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</si>
  <si>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</si>
  <si>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</si>
  <si>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</si>
  <si>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</si>
  <si>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</si>
  <si>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</si>
  <si>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</si>
  <si>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</si>
  <si>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</si>
  <si>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</si>
  <si>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</si>
  <si>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</si>
  <si>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</si>
  <si>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</si>
  <si>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</si>
  <si>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</si>
  <si>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</si>
  <si>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</si>
  <si>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</si>
  <si>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</si>
  <si>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</si>
  <si>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</si>
  <si>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</si>
  <si>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</si>
  <si>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</si>
  <si>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</si>
  <si>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</si>
  <si>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</si>
  <si>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</si>
  <si>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</si>
  <si>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</si>
  <si>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</si>
  <si>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</si>
  <si>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</si>
  <si>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</si>
  <si>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</si>
  <si>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</si>
  <si>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</si>
  <si>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</si>
  <si>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</si>
  <si>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</si>
  <si>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</si>
  <si>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</si>
  <si>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</si>
  <si>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</si>
  <si>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</si>
  <si>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</si>
  <si>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</si>
  <si>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</si>
  <si>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</si>
  <si>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</si>
  <si>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</si>
  <si>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</si>
  <si>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</si>
  <si>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</si>
  <si>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</si>
  <si>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</si>
  <si>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</si>
  <si>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</si>
  <si>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</si>
  <si>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</si>
  <si>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</si>
  <si>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</si>
  <si>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</si>
  <si>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</si>
  <si>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</si>
  <si>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</si>
  <si>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</si>
  <si>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</si>
  <si>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</si>
  <si>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</si>
  <si>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</si>
  <si>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</si>
  <si>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</si>
  <si>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</si>
  <si>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</si>
  <si>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</si>
  <si>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</si>
  <si>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</si>
  <si>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</si>
  <si>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</si>
  <si>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</si>
  <si>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</si>
  <si>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</si>
  <si>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</si>
  <si>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</si>
  <si>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</si>
  <si>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</si>
  <si>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</si>
  <si>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</si>
  <si>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</si>
  <si>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</si>
  <si>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</si>
  <si>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</si>
  <si>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</si>
  <si>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</si>
  <si>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</si>
  <si>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</si>
  <si>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</si>
  <si>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</si>
  <si>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</si>
  <si>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</si>
  <si>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</si>
  <si>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</si>
  <si>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</si>
  <si>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</si>
  <si>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</si>
  <si>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</si>
  <si>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</si>
  <si>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</si>
  <si>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</si>
  <si>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</si>
  <si>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</si>
  <si>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</si>
  <si>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</si>
  <si>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</si>
  <si>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</si>
  <si>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</si>
  <si>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</si>
  <si>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</si>
  <si>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</si>
  <si>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</si>
  <si>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</si>
  <si>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</si>
  <si>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</si>
  <si>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</si>
  <si>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</si>
  <si>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</si>
  <si>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</si>
  <si>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</si>
  <si>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</si>
  <si>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</si>
  <si>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</si>
  <si>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</si>
  <si>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</si>
  <si>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</si>
  <si>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</si>
  <si>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</si>
  <si>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</si>
  <si>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</si>
  <si>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</si>
  <si>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</si>
  <si>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</si>
  <si>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</si>
  <si>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</si>
  <si>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</si>
  <si>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</si>
  <si>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</si>
  <si>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</si>
  <si>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</si>
  <si>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</si>
  <si>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</si>
  <si>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</si>
  <si>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</si>
  <si>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</si>
  <si>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</si>
  <si>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</si>
  <si>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</si>
  <si>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</si>
  <si>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</si>
  <si>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</si>
  <si>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</si>
  <si>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</si>
  <si>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</si>
  <si>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</si>
  <si>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</si>
  <si>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</si>
  <si>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</si>
  <si>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</si>
  <si>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</si>
  <si>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</si>
  <si>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</si>
  <si>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</si>
  <si>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</si>
  <si>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</si>
  <si>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</si>
  <si>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</si>
  <si>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</si>
  <si>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</si>
  <si>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</si>
  <si>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</si>
  <si>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</si>
  <si>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</si>
  <si>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</si>
  <si>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</si>
  <si>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</si>
  <si>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</si>
  <si>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</si>
  <si>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</si>
  <si>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</si>
  <si>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</si>
  <si>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</si>
  <si>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</si>
  <si>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</si>
  <si>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</si>
  <si>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</si>
  <si>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</si>
  <si>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</si>
  <si>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</si>
  <si>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</si>
  <si>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</si>
  <si>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</si>
  <si>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</si>
  <si>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</si>
  <si>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</si>
  <si>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</si>
  <si>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</si>
  <si>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</si>
  <si>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</si>
  <si>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</si>
  <si>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</si>
  <si>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</si>
  <si>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</si>
  <si>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</si>
  <si>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</si>
  <si>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</si>
  <si>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</si>
  <si>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</si>
  <si>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</si>
  <si>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</si>
  <si>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</si>
  <si>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</si>
  <si>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</si>
  <si>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</si>
  <si>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</si>
  <si>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</si>
  <si>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</si>
  <si>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</si>
  <si>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</si>
  <si>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</si>
  <si>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</si>
  <si>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</si>
  <si>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</si>
  <si>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</si>
  <si>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</si>
  <si>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</si>
  <si>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</si>
  <si>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</si>
  <si>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</si>
  <si>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</si>
  <si>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</si>
  <si>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</si>
  <si>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</si>
  <si>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</si>
  <si>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</si>
  <si>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</si>
  <si>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</si>
  <si>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</si>
  <si>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</si>
  <si>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</si>
  <si>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</si>
  <si>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</si>
  <si>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</si>
  <si>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</si>
  <si>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</si>
  <si>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</si>
  <si>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</si>
  <si>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</si>
  <si>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</si>
  <si>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</si>
  <si>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</si>
  <si>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</si>
  <si>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</si>
  <si>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</si>
  <si>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</si>
  <si>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</si>
  <si>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</si>
  <si>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</si>
  <si>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</si>
  <si>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</si>
  <si>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</si>
  <si>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</si>
  <si>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</si>
  <si>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</si>
  <si>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</si>
  <si>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</si>
  <si>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</si>
  <si>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</si>
  <si>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</si>
  <si>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</si>
  <si>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</si>
  <si>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</si>
  <si>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</si>
  <si>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</si>
  <si>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</si>
  <si>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</si>
  <si>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</si>
  <si>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</si>
  <si>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</si>
  <si>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</si>
  <si>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</si>
  <si>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</si>
  <si>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</si>
  <si>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</si>
  <si>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</si>
  <si>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</si>
  <si>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</si>
  <si>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</si>
  <si>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</si>
  <si>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</si>
  <si>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</si>
  <si>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</si>
  <si>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</si>
  <si>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</si>
  <si>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</si>
  <si>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</si>
  <si>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</si>
  <si>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</si>
  <si>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</si>
  <si>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</si>
  <si>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</si>
  <si>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</si>
  <si>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</si>
  <si>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</si>
  <si>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</si>
  <si>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</si>
  <si>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</si>
  <si>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</si>
  <si>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</si>
  <si>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</si>
  <si>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</si>
  <si>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</si>
  <si>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</si>
  <si>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</si>
  <si>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</si>
  <si>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</si>
  <si>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</si>
  <si>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</si>
  <si>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</si>
  <si>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</si>
  <si>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</si>
  <si>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</si>
  <si>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</si>
  <si>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</si>
  <si>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</si>
  <si>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</si>
  <si>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</si>
  <si>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</si>
  <si>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</si>
  <si>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</si>
  <si>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</si>
  <si>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</si>
  <si>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</si>
  <si>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</si>
  <si>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</si>
  <si>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</si>
  <si>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</si>
  <si>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</si>
  <si>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</si>
  <si>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</si>
  <si>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</si>
  <si>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</si>
  <si>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</si>
  <si>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</si>
  <si>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</si>
  <si>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</si>
  <si>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</si>
  <si>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</si>
  <si>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</si>
  <si>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</si>
  <si>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</si>
  <si>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</si>
  <si>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</si>
  <si>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</si>
  <si>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</si>
  <si>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</si>
  <si>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</si>
  <si>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</si>
  <si>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</si>
  <si>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</si>
  <si>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</si>
  <si>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</si>
  <si>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</si>
  <si>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</si>
  <si>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</si>
  <si>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</si>
  <si>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</si>
  <si>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</si>
  <si>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</si>
  <si>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</si>
  <si>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</si>
  <si>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</si>
  <si>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</si>
  <si>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</si>
  <si>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</si>
  <si>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</si>
  <si>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</si>
  <si>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</si>
  <si>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</si>
  <si>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</si>
  <si>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</si>
  <si>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</si>
  <si>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</si>
  <si>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</si>
  <si>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</si>
  <si>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</si>
  <si>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</si>
  <si>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</si>
  <si>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</si>
  <si>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</si>
  <si>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</si>
  <si>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</si>
  <si>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</si>
  <si>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</si>
  <si>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OTIMA</t>
  </si>
  <si>
    <t>BOA</t>
  </si>
  <si>
    <t>REGULAR</t>
  </si>
  <si>
    <t>RUIM</t>
  </si>
  <si>
    <t>PESSIMA</t>
  </si>
  <si>
    <t>SENA</t>
  </si>
  <si>
    <t>AVAL_ADM3</t>
  </si>
  <si>
    <t>AVAL_ADM4</t>
  </si>
  <si>
    <t>AVAL_ADM5</t>
  </si>
  <si>
    <t>AMAPA_02JULHO26</t>
  </si>
  <si>
    <t>2. Como você avalia a administração da prefeita Nelene Gomes ?</t>
  </si>
  <si>
    <t xml:space="preserve">1. Você aprova ou Desaprova o governo Carlos Brandão ?                                   </t>
  </si>
  <si>
    <t>3. Você aprova ou Desaprova a administração da prefeita Nelene Gomes ?</t>
  </si>
  <si>
    <t>4.  Como você avalia a educação de Amapá do Maranhão ?</t>
  </si>
  <si>
    <r>
      <t xml:space="preserve">5.  </t>
    </r>
    <r>
      <rPr>
        <sz val="11"/>
        <color theme="1"/>
        <rFont val="Arial"/>
        <family val="2"/>
      </rPr>
      <t>Como você avalia a Saúde de Amapá do Maranhão ?</t>
    </r>
  </si>
  <si>
    <r>
      <t>6.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Quem é hoje o vereador mais atuante de Amapá do Maranhão ?</t>
    </r>
  </si>
  <si>
    <t>LIDER</t>
  </si>
  <si>
    <t>OBRA</t>
  </si>
  <si>
    <t>INDIC1</t>
  </si>
  <si>
    <t>INDIC2</t>
  </si>
  <si>
    <r>
      <t>7.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 xml:space="preserve">  quem é hoje a maior liderança politica de Amapá do Maranhão ?</t>
    </r>
  </si>
  <si>
    <t xml:space="preserve">8. Qual foi a melhor obra ou serviço realizado pela administração do prefeita Nelene Gomes até o momento ? </t>
  </si>
  <si>
    <t>NECE</t>
  </si>
  <si>
    <r>
      <t>9.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Qual é hoje a maior necessidade do seu bairro (povoado) que você gostaria que a prefeita solucionasse  ?</t>
    </r>
  </si>
  <si>
    <r>
      <t>10.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Na sua opinião você acha que a prefeita Nelene Gomes elege seu sucessor?</t>
    </r>
  </si>
  <si>
    <t>11. Se as eleições para prefeito de Amapá do Maranhão fossem hoje em quem você votaria entre esses dois candidatos ?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</si>
  <si>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Nas eleições desse ano você vai votar nos candidatos apoiados pela prefeita Nelene Gomes   ?</t>
    </r>
  </si>
  <si>
    <t>13. Se a eleição fossem hoje, em quem você votaria para Deputado Estadual?</t>
  </si>
  <si>
    <t>14. Se a eleição fossem hoje, em quem você votaria para Deputado Estadual dentre esses candidatos ?</t>
  </si>
  <si>
    <t>15. Se a eleição fossem hoje, em quem você votaria para Deputado Federal?</t>
  </si>
  <si>
    <t>DEP3</t>
  </si>
  <si>
    <t>DEP4</t>
  </si>
  <si>
    <t>Se a eleição fossem hoje, em quem você votaria para Deputado Federal dentre esses candidatos ?</t>
  </si>
  <si>
    <t xml:space="preserve">Se as fossem hoje, em quem você votaria para Senador do Maranhão dentre esses candidatos: </t>
  </si>
  <si>
    <t>Se as eleições fossem hoje, em quem você votaria p governador?</t>
  </si>
  <si>
    <t>GOV2</t>
  </si>
  <si>
    <t>Se as eleições fossem hoje, em quem você votaria para governador do Maranhão dentre esses candidatos:</t>
  </si>
  <si>
    <t xml:space="preserve">Elege Facilmente         </t>
  </si>
  <si>
    <t xml:space="preserve">Elege, mas com dificuldade     </t>
  </si>
  <si>
    <t xml:space="preserve">Pode ser que eleja       </t>
  </si>
  <si>
    <t xml:space="preserve">Não elege de jeito nenhum     </t>
  </si>
  <si>
    <t xml:space="preserve">Dr Matias Lemos   </t>
  </si>
  <si>
    <t xml:space="preserve">Dra Aline Lacerda  </t>
  </si>
  <si>
    <t xml:space="preserve">Sim, com certeza </t>
  </si>
  <si>
    <t>Talvez votaria</t>
  </si>
  <si>
    <t xml:space="preserve">Não de jeito nenhum   </t>
  </si>
  <si>
    <t xml:space="preserve">Josimar Junior     </t>
  </si>
  <si>
    <t xml:space="preserve">Júnior Viana  </t>
  </si>
  <si>
    <t>Natália Melo</t>
  </si>
  <si>
    <t xml:space="preserve">Fabiana Vilar        </t>
  </si>
  <si>
    <t xml:space="preserve">Júnior Lourenço   </t>
  </si>
  <si>
    <t xml:space="preserve">Aluizio Mendes       </t>
  </si>
  <si>
    <t xml:space="preserve">Larissa DP </t>
  </si>
  <si>
    <t xml:space="preserve">Weverton Rocha  </t>
  </si>
  <si>
    <t xml:space="preserve">Eliziane Gama  </t>
  </si>
  <si>
    <t xml:space="preserve">André Fufuca    </t>
  </si>
  <si>
    <t xml:space="preserve">Roberto Rocha     </t>
  </si>
  <si>
    <t xml:space="preserve">Roseana Sarney            </t>
  </si>
  <si>
    <t xml:space="preserve">Orleans Brandão  </t>
  </si>
  <si>
    <t xml:space="preserve">Felipe Camarão  </t>
  </si>
  <si>
    <t xml:space="preserve">Eduardo Braide  </t>
  </si>
  <si>
    <t>Indecisos</t>
  </si>
  <si>
    <t>CENTRO</t>
  </si>
  <si>
    <t>VILA SOARES</t>
  </si>
  <si>
    <t>NOVO</t>
  </si>
  <si>
    <t>ALTO ALEGRE</t>
  </si>
  <si>
    <t>ANTA</t>
  </si>
  <si>
    <t>NOVA VIDA</t>
  </si>
  <si>
    <t>BELA VISTA</t>
  </si>
  <si>
    <t>CURTISAL</t>
  </si>
  <si>
    <t>VILA CAXIAS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</si>
</sst>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5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0" fontId="20" fillId="0" borderId="0" xfId="0" applyFont="1" applyAlignment="1">
      <alignment horizontal="left" vertical="center" indent="6"/>
    </xf>
    <xf numFmtId="0" fontId="5" fillId="0" borderId="0" xfId="0" applyFont="1" applyFill="1">
      <alignment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Porcentagem 2" xfId="8" xr:uid="{00000000-0005-0000-0000-000008000000}"/>
    <cellStyle name="Porcentagem 3" xfId="9" xr:uid="{00000000-0005-0000-0000-000009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600-000001000000}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ABAL_23ABR24" displayName="BACABAL_23ABR24" ref="A1:AL581" tableType="queryTable" totalsRowShown="0">
  <autoFilter ref="A1:AL581" xr:uid="{00000000-0009-0000-0100-000001000000}"/>
  <tableColumns count="38">
    <tableColumn id="1" xr3:uid="{00000000-0010-0000-0000-000001000000}" uniqueName="1" name="SubmissionDate" queryTableFieldId="1" dataDxfId="32"/>
    <tableColumn id="2" xr3:uid="{00000000-0010-0000-0000-000002000000}" uniqueName="2" name="PESQUISA_INICIO" queryTableFieldId="2" dataDxfId="31"/>
    <tableColumn id="3" xr3:uid="{00000000-0010-0000-0000-000003000000}" uniqueName="3" name="PESQUISA_FIM" queryTableFieldId="3" dataDxfId="30"/>
    <tableColumn id="4" xr3:uid="{00000000-0010-0000-0000-000004000000}" uniqueName="4" name="HOJE" queryTableFieldId="4" dataDxfId="29"/>
    <tableColumn id="5" xr3:uid="{00000000-0010-0000-0000-000005000000}" uniqueName="5" name="LOCALIDADE" queryTableFieldId="5" dataDxfId="28"/>
    <tableColumn id="6" xr3:uid="{00000000-0010-0000-0000-000006000000}" uniqueName="6" name="LOC1" queryTableFieldId="6" dataDxfId="27"/>
    <tableColumn id="7" xr3:uid="{00000000-0010-0000-0000-000007000000}" uniqueName="7" name="ZONA" queryTableFieldId="7" dataDxfId="26"/>
    <tableColumn id="8" xr3:uid="{00000000-0010-0000-0000-000008000000}" uniqueName="8" name="SEXO" queryTableFieldId="8" dataDxfId="25"/>
    <tableColumn id="9" xr3:uid="{00000000-0010-0000-0000-000009000000}" uniqueName="9" name="IDADE" queryTableFieldId="9" dataDxfId="24"/>
    <tableColumn id="10" xr3:uid="{00000000-0010-0000-0000-00000A000000}" uniqueName="10" name="ESCOLARIDADE" queryTableFieldId="10" dataDxfId="23"/>
    <tableColumn id="11" xr3:uid="{00000000-0010-0000-0000-00000B000000}" uniqueName="11" name="RENDA_FAMILIAR" queryTableFieldId="11" dataDxfId="22"/>
    <tableColumn id="12" xr3:uid="{00000000-0010-0000-0000-00000C000000}" uniqueName="12" name="RELIGIAO" queryTableFieldId="12" dataDxfId="21"/>
    <tableColumn id="13" xr3:uid="{00000000-0010-0000-0000-00000D000000}" uniqueName="13" name="PRES1" queryTableFieldId="13" dataDxfId="20"/>
    <tableColumn id="14" xr3:uid="{00000000-0010-0000-0000-00000E000000}" uniqueName="14" name="GOV1" queryTableFieldId="14" dataDxfId="19"/>
    <tableColumn id="15" xr3:uid="{00000000-0010-0000-0000-00000F000000}" uniqueName="15" name="AVAL_ADM2" queryTableFieldId="15" dataDxfId="18"/>
    <tableColumn id="16" xr3:uid="{00000000-0010-0000-0000-000010000000}" uniqueName="16" name="PROBLEMA" queryTableFieldId="16" dataDxfId="17"/>
    <tableColumn id="17" xr3:uid="{00000000-0010-0000-0000-000011000000}" uniqueName="17" name="ESP" queryTableFieldId="17" dataDxfId="16"/>
    <tableColumn id="18" xr3:uid="{00000000-0010-0000-0000-000012000000}" uniqueName="18" name="ESTIMULADA" queryTableFieldId="18" dataDxfId="15"/>
    <tableColumn id="19" xr3:uid="{00000000-0010-0000-0000-000013000000}" uniqueName="19" name="EST" queryTableFieldId="19" dataDxfId="14"/>
    <tableColumn id="20" xr3:uid="{00000000-0010-0000-0000-000014000000}" uniqueName="20" name="CEN1" queryTableFieldId="20" dataDxfId="13"/>
    <tableColumn id="21" xr3:uid="{00000000-0010-0000-0000-000015000000}" uniqueName="21" name="CEN2" queryTableFieldId="21" dataDxfId="12"/>
    <tableColumn id="22" xr3:uid="{00000000-0010-0000-0000-000016000000}" uniqueName="22" name="CEN3" queryTableFieldId="22" dataDxfId="11"/>
    <tableColumn id="23" xr3:uid="{00000000-0010-0000-0000-000017000000}" uniqueName="23" name="REJ" queryTableFieldId="23" dataDxfId="10"/>
    <tableColumn id="24" xr3:uid="{00000000-0010-0000-0000-000018000000}" uniqueName="24" name="REELEICAO" queryTableFieldId="24" dataDxfId="9"/>
    <tableColumn id="25" xr3:uid="{00000000-0010-0000-0000-000019000000}" uniqueName="25" name="VEREADOR" queryTableFieldId="25" dataDxfId="8"/>
    <tableColumn id="26" xr3:uid="{00000000-0010-0000-0000-00001A000000}" uniqueName="26" name="NOME" queryTableFieldId="26" dataDxfId="7"/>
    <tableColumn id="27" xr3:uid="{00000000-0010-0000-0000-00001B000000}" uniqueName="27" name="ENTREVISTADOR" queryTableFieldId="27" dataDxfId="6"/>
    <tableColumn id="28" xr3:uid="{00000000-0010-0000-0000-00001C000000}" uniqueName="28" name="meta-instanceID" queryTableFieldId="28" dataDxfId="5"/>
    <tableColumn id="29" xr3:uid="{00000000-0010-0000-0000-00001D000000}" uniqueName="29" name="KEY" queryTableFieldId="29" dataDxfId="4"/>
    <tableColumn id="30" xr3:uid="{00000000-0010-0000-0000-00001E000000}" uniqueName="30" name="SubmitterID" queryTableFieldId="30"/>
    <tableColumn id="31" xr3:uid="{00000000-0010-0000-0000-00001F000000}" uniqueName="31" name="SubmitterName" queryTableFieldId="31" dataDxfId="3"/>
    <tableColumn id="32" xr3:uid="{00000000-0010-0000-0000-000020000000}" uniqueName="32" name="AttachmentsPresent" queryTableFieldId="32"/>
    <tableColumn id="33" xr3:uid="{00000000-0010-0000-0000-000021000000}" uniqueName="33" name="AttachmentsExpected" queryTableFieldId="33"/>
    <tableColumn id="34" xr3:uid="{00000000-0010-0000-0000-000022000000}" uniqueName="34" name="Status" queryTableFieldId="34" dataDxfId="2"/>
    <tableColumn id="35" xr3:uid="{00000000-0010-0000-0000-000023000000}" uniqueName="35" name="ReviewState" queryTableFieldId="35" dataDxfId="1"/>
    <tableColumn id="36" xr3:uid="{00000000-0010-0000-0000-000024000000}" uniqueName="36" name="DeviceID" queryTableFieldId="36" dataDxfId="0"/>
    <tableColumn id="37" xr3:uid="{00000000-0010-0000-0000-000025000000}" uniqueName="37" name="Edits" queryTableFieldId="37"/>
    <tableColumn id="38" xr3:uid="{00000000-0010-0000-0000-000026000000}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.140625" defaultRowHeight="12.75"/>
  <cols>
    <col min="1" max="1" width="28.5703125" customWidth="1"/>
    <col min="2" max="2" width="26.425781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2327</v>
      </c>
      <c r="B2" t="s">
        <v>3</v>
      </c>
      <c r="C2">
        <v>20260702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>
      <pane xSplit="1" ySplit="1" topLeftCell="B83" activePane="bottomRight" state="frozen"/>
      <selection pane="topRight"/>
      <selection pane="bottomLeft"/>
      <selection pane="bottomRight" activeCell="A110" sqref="A110:XFD110"/>
    </sheetView>
  </sheetViews>
  <sheetFormatPr defaultColWidth="9.140625" defaultRowHeight="12.75"/>
  <cols>
    <col min="1" max="1" width="13.28515625" customWidth="1"/>
    <col min="2" max="2" width="38.140625" customWidth="1"/>
    <col min="3" max="3" width="46.140625" customWidth="1"/>
    <col min="4" max="4" width="25.85546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2379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2379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2379</v>
      </c>
      <c r="C33" s="28" t="s">
        <v>38</v>
      </c>
    </row>
    <row r="34" spans="1:3" s="48" customFormat="1">
      <c r="A34" s="57"/>
      <c r="B34" s="57"/>
      <c r="C34" s="57"/>
    </row>
    <row r="35" spans="1:3" s="48" customFormat="1">
      <c r="A35" s="33" t="s">
        <v>48</v>
      </c>
      <c r="B35" s="38" t="s">
        <v>53</v>
      </c>
      <c r="C35" s="38" t="s">
        <v>53</v>
      </c>
    </row>
    <row r="36" spans="1:3" s="48" customFormat="1">
      <c r="A36" s="33" t="s">
        <v>48</v>
      </c>
      <c r="B36" s="38" t="s">
        <v>54</v>
      </c>
      <c r="C36" s="38" t="s">
        <v>54</v>
      </c>
    </row>
    <row r="37" spans="1:3" s="48" customFormat="1">
      <c r="A37" s="33" t="s">
        <v>48</v>
      </c>
      <c r="B37" s="50" t="s">
        <v>2379</v>
      </c>
      <c r="C37" s="50" t="s">
        <v>2379</v>
      </c>
    </row>
    <row r="38" spans="1:3" s="48" customFormat="1">
      <c r="A38" s="50" t="s">
        <v>52</v>
      </c>
      <c r="B38" t="s">
        <v>2318</v>
      </c>
      <c r="C38" t="s">
        <v>2318</v>
      </c>
    </row>
    <row r="39" spans="1:3" s="48" customFormat="1">
      <c r="A39" s="50" t="s">
        <v>52</v>
      </c>
      <c r="B39" t="s">
        <v>2319</v>
      </c>
      <c r="C39" t="s">
        <v>2319</v>
      </c>
    </row>
    <row r="40" spans="1:3" s="48" customFormat="1">
      <c r="A40" s="50" t="s">
        <v>52</v>
      </c>
      <c r="B40" t="s">
        <v>2320</v>
      </c>
      <c r="C40" t="s">
        <v>2320</v>
      </c>
    </row>
    <row r="41" spans="1:3">
      <c r="A41" s="50" t="s">
        <v>52</v>
      </c>
      <c r="B41" t="s">
        <v>2321</v>
      </c>
      <c r="C41" t="s">
        <v>2321</v>
      </c>
    </row>
    <row r="42" spans="1:3">
      <c r="A42" s="50" t="s">
        <v>52</v>
      </c>
      <c r="B42" t="s">
        <v>2322</v>
      </c>
      <c r="C42" t="s">
        <v>2322</v>
      </c>
    </row>
    <row r="43" spans="1:3">
      <c r="A43" s="50" t="s">
        <v>52</v>
      </c>
      <c r="B43" s="50" t="s">
        <v>2379</v>
      </c>
      <c r="C43" s="50" t="s">
        <v>2379</v>
      </c>
    </row>
    <row r="44" spans="1:3" s="48" customFormat="1">
      <c r="A44" s="50" t="s">
        <v>2324</v>
      </c>
      <c r="B44" s="38" t="s">
        <v>53</v>
      </c>
      <c r="C44" s="38" t="s">
        <v>53</v>
      </c>
    </row>
    <row r="45" spans="1:3">
      <c r="A45" s="50" t="s">
        <v>2324</v>
      </c>
      <c r="B45" s="38" t="s">
        <v>54</v>
      </c>
      <c r="C45" s="38" t="s">
        <v>54</v>
      </c>
    </row>
    <row r="46" spans="1:3">
      <c r="A46" s="50" t="s">
        <v>2324</v>
      </c>
      <c r="B46" s="50" t="s">
        <v>2379</v>
      </c>
      <c r="C46" s="50" t="s">
        <v>2379</v>
      </c>
    </row>
    <row r="47" spans="1:3">
      <c r="A47" s="50" t="s">
        <v>2325</v>
      </c>
      <c r="B47" t="s">
        <v>2318</v>
      </c>
      <c r="C47" t="s">
        <v>2318</v>
      </c>
    </row>
    <row r="48" spans="1:3">
      <c r="A48" s="50" t="s">
        <v>2325</v>
      </c>
      <c r="B48" t="s">
        <v>2319</v>
      </c>
      <c r="C48" t="s">
        <v>2319</v>
      </c>
    </row>
    <row r="49" spans="1:3">
      <c r="A49" s="50" t="s">
        <v>2325</v>
      </c>
      <c r="B49" t="s">
        <v>2320</v>
      </c>
      <c r="C49" t="s">
        <v>2320</v>
      </c>
    </row>
    <row r="50" spans="1:3">
      <c r="A50" s="50" t="s">
        <v>2325</v>
      </c>
      <c r="B50" t="s">
        <v>2321</v>
      </c>
      <c r="C50" t="s">
        <v>2321</v>
      </c>
    </row>
    <row r="51" spans="1:3">
      <c r="A51" s="50" t="s">
        <v>2325</v>
      </c>
      <c r="B51" t="s">
        <v>2322</v>
      </c>
      <c r="C51" t="s">
        <v>2322</v>
      </c>
    </row>
    <row r="52" spans="1:3">
      <c r="A52" s="50" t="s">
        <v>2325</v>
      </c>
      <c r="B52" s="50" t="s">
        <v>2379</v>
      </c>
      <c r="C52" s="50" t="s">
        <v>2379</v>
      </c>
    </row>
    <row r="53" spans="1:3">
      <c r="A53" s="50" t="s">
        <v>2326</v>
      </c>
      <c r="B53" t="s">
        <v>2318</v>
      </c>
      <c r="C53" t="s">
        <v>2318</v>
      </c>
    </row>
    <row r="54" spans="1:3" s="48" customFormat="1">
      <c r="A54" s="50" t="s">
        <v>2326</v>
      </c>
      <c r="B54" t="s">
        <v>2319</v>
      </c>
      <c r="C54" t="s">
        <v>2319</v>
      </c>
    </row>
    <row r="55" spans="1:3" s="48" customFormat="1">
      <c r="A55" s="50" t="s">
        <v>2326</v>
      </c>
      <c r="B55" t="s">
        <v>2320</v>
      </c>
      <c r="C55" t="s">
        <v>2320</v>
      </c>
    </row>
    <row r="56" spans="1:3" s="48" customFormat="1">
      <c r="A56" s="50" t="s">
        <v>2326</v>
      </c>
      <c r="B56" t="s">
        <v>2321</v>
      </c>
      <c r="C56" t="s">
        <v>2321</v>
      </c>
    </row>
    <row r="57" spans="1:3" s="48" customFormat="1">
      <c r="A57" s="50" t="s">
        <v>2326</v>
      </c>
      <c r="B57" t="s">
        <v>2322</v>
      </c>
      <c r="C57" t="s">
        <v>2322</v>
      </c>
    </row>
    <row r="58" spans="1:3" s="48" customFormat="1">
      <c r="A58" s="50" t="s">
        <v>2326</v>
      </c>
      <c r="B58" s="50" t="s">
        <v>2379</v>
      </c>
      <c r="C58" s="50" t="s">
        <v>2379</v>
      </c>
    </row>
    <row r="59" spans="1:3" s="48" customFormat="1" ht="15">
      <c r="A59" s="49" t="s">
        <v>2336</v>
      </c>
      <c r="B59" s="42" t="s">
        <v>2355</v>
      </c>
      <c r="C59" s="42" t="s">
        <v>2355</v>
      </c>
    </row>
    <row r="60" spans="1:3" s="48" customFormat="1" ht="15">
      <c r="A60" s="49" t="s">
        <v>2336</v>
      </c>
      <c r="B60" s="42" t="s">
        <v>2356</v>
      </c>
      <c r="C60" s="42" t="s">
        <v>2356</v>
      </c>
    </row>
    <row r="61" spans="1:3" s="48" customFormat="1" ht="15">
      <c r="A61" s="49" t="s">
        <v>2336</v>
      </c>
      <c r="B61" s="42" t="s">
        <v>2357</v>
      </c>
      <c r="C61" s="42" t="s">
        <v>2357</v>
      </c>
    </row>
    <row r="62" spans="1:3" s="48" customFormat="1" ht="15">
      <c r="A62" s="49" t="s">
        <v>2336</v>
      </c>
      <c r="B62" s="42" t="s">
        <v>2358</v>
      </c>
      <c r="C62" s="42" t="s">
        <v>2358</v>
      </c>
    </row>
    <row r="63" spans="1:3" s="48" customFormat="1">
      <c r="A63" s="49" t="s">
        <v>2336</v>
      </c>
      <c r="B63" s="50" t="s">
        <v>2379</v>
      </c>
      <c r="C63" s="50" t="s">
        <v>2379</v>
      </c>
    </row>
    <row r="64" spans="1:3" s="48" customFormat="1" ht="14.25">
      <c r="A64" s="49" t="s">
        <v>154</v>
      </c>
      <c r="B64" s="53" t="s">
        <v>2359</v>
      </c>
      <c r="C64" s="53" t="s">
        <v>2359</v>
      </c>
    </row>
    <row r="65" spans="1:3" s="48" customFormat="1" ht="14.25">
      <c r="A65" s="49" t="s">
        <v>154</v>
      </c>
      <c r="B65" s="53" t="s">
        <v>2360</v>
      </c>
      <c r="C65" s="53" t="s">
        <v>2360</v>
      </c>
    </row>
    <row r="66" spans="1:3" s="48" customFormat="1">
      <c r="A66" s="49" t="s">
        <v>154</v>
      </c>
      <c r="B66" s="50" t="s">
        <v>2379</v>
      </c>
      <c r="C66" s="50" t="s">
        <v>2379</v>
      </c>
    </row>
    <row r="67" spans="1:3" s="48" customFormat="1" ht="14.25">
      <c r="A67" s="49" t="s">
        <v>2337</v>
      </c>
      <c r="B67" s="53" t="s">
        <v>2361</v>
      </c>
      <c r="C67" s="53" t="s">
        <v>2361</v>
      </c>
    </row>
    <row r="68" spans="1:3" s="48" customFormat="1" ht="14.25">
      <c r="A68" s="49" t="s">
        <v>2337</v>
      </c>
      <c r="B68" s="53" t="s">
        <v>2362</v>
      </c>
      <c r="C68" s="53" t="s">
        <v>2362</v>
      </c>
    </row>
    <row r="69" spans="1:3" s="48" customFormat="1" ht="14.25">
      <c r="A69" s="49" t="s">
        <v>2337</v>
      </c>
      <c r="B69" s="53" t="s">
        <v>2363</v>
      </c>
      <c r="C69" s="53" t="s">
        <v>2363</v>
      </c>
    </row>
    <row r="70" spans="1:3" s="48" customFormat="1">
      <c r="A70" s="49" t="s">
        <v>2337</v>
      </c>
      <c r="B70" s="50" t="s">
        <v>2379</v>
      </c>
      <c r="C70" s="50" t="s">
        <v>2379</v>
      </c>
    </row>
    <row r="71" spans="1:3" s="48" customFormat="1" ht="15">
      <c r="A71" s="49" t="s">
        <v>56</v>
      </c>
      <c r="B71" s="42" t="s">
        <v>2364</v>
      </c>
      <c r="C71" s="42" t="s">
        <v>2364</v>
      </c>
    </row>
    <row r="72" spans="1:3" s="48" customFormat="1" ht="15">
      <c r="A72" s="49" t="s">
        <v>56</v>
      </c>
      <c r="B72" s="42" t="s">
        <v>2365</v>
      </c>
      <c r="C72" s="42" t="s">
        <v>2365</v>
      </c>
    </row>
    <row r="73" spans="1:3" s="48" customFormat="1" ht="15">
      <c r="A73" s="49" t="s">
        <v>56</v>
      </c>
      <c r="B73" s="42" t="s">
        <v>2366</v>
      </c>
      <c r="C73" s="42" t="s">
        <v>2366</v>
      </c>
    </row>
    <row r="74" spans="1:3" s="48" customFormat="1">
      <c r="A74" s="49" t="s">
        <v>56</v>
      </c>
      <c r="B74" s="50" t="s">
        <v>2379</v>
      </c>
      <c r="C74" s="50" t="s">
        <v>2379</v>
      </c>
    </row>
    <row r="75" spans="1:3" s="48" customFormat="1" ht="15">
      <c r="A75" s="49" t="s">
        <v>2349</v>
      </c>
      <c r="B75" s="42" t="s">
        <v>2367</v>
      </c>
      <c r="C75" s="42" t="s">
        <v>2367</v>
      </c>
    </row>
    <row r="76" spans="1:3" s="48" customFormat="1" ht="15">
      <c r="A76" s="49" t="s">
        <v>2349</v>
      </c>
      <c r="B76" s="42" t="s">
        <v>2368</v>
      </c>
      <c r="C76" s="42" t="s">
        <v>2368</v>
      </c>
    </row>
    <row r="77" spans="1:3" s="48" customFormat="1" ht="15">
      <c r="A77" s="49" t="s">
        <v>2349</v>
      </c>
      <c r="B77" s="42" t="s">
        <v>2369</v>
      </c>
      <c r="C77" s="42" t="s">
        <v>2369</v>
      </c>
    </row>
    <row r="78" spans="1:3" s="48" customFormat="1" ht="15">
      <c r="A78" s="49" t="s">
        <v>2349</v>
      </c>
      <c r="B78" s="42" t="s">
        <v>2370</v>
      </c>
      <c r="C78" s="42" t="s">
        <v>2370</v>
      </c>
    </row>
    <row r="79" spans="1:3" s="48" customFormat="1">
      <c r="A79" s="49" t="s">
        <v>2349</v>
      </c>
      <c r="B79" s="50" t="s">
        <v>2379</v>
      </c>
      <c r="C79" s="50" t="s">
        <v>2379</v>
      </c>
    </row>
    <row r="80" spans="1:3" s="48" customFormat="1" ht="15">
      <c r="A80" s="49" t="s">
        <v>2323</v>
      </c>
      <c r="B80" s="42" t="s">
        <v>2371</v>
      </c>
      <c r="C80" s="42" t="s">
        <v>2371</v>
      </c>
    </row>
    <row r="81" spans="1:3" ht="15">
      <c r="A81" s="49" t="s">
        <v>2323</v>
      </c>
      <c r="B81" s="42" t="s">
        <v>2372</v>
      </c>
      <c r="C81" s="42" t="s">
        <v>2372</v>
      </c>
    </row>
    <row r="82" spans="1:3" ht="15">
      <c r="A82" s="49" t="s">
        <v>2323</v>
      </c>
      <c r="B82" s="42" t="s">
        <v>2373</v>
      </c>
      <c r="C82" s="42" t="s">
        <v>2373</v>
      </c>
    </row>
    <row r="83" spans="1:3" ht="15">
      <c r="A83" s="49" t="s">
        <v>2323</v>
      </c>
      <c r="B83" s="42" t="s">
        <v>2374</v>
      </c>
      <c r="C83" s="42" t="s">
        <v>2374</v>
      </c>
    </row>
    <row r="84" spans="1:3" ht="15">
      <c r="A84" s="49" t="s">
        <v>2323</v>
      </c>
      <c r="B84" s="42" t="s">
        <v>2375</v>
      </c>
      <c r="C84" s="42" t="s">
        <v>2375</v>
      </c>
    </row>
    <row r="85" spans="1:3">
      <c r="A85" s="49" t="s">
        <v>2323</v>
      </c>
      <c r="B85" s="50" t="s">
        <v>2379</v>
      </c>
      <c r="C85" s="50" t="s">
        <v>2379</v>
      </c>
    </row>
    <row r="86" spans="1:3" ht="15">
      <c r="A86" s="40" t="s">
        <v>2353</v>
      </c>
      <c r="B86" s="42" t="s">
        <v>2376</v>
      </c>
      <c r="C86" s="42" t="s">
        <v>2376</v>
      </c>
    </row>
    <row r="87" spans="1:3" ht="15">
      <c r="A87" s="40" t="s">
        <v>2353</v>
      </c>
      <c r="B87" s="42" t="s">
        <v>2377</v>
      </c>
      <c r="C87" s="42" t="s">
        <v>2377</v>
      </c>
    </row>
    <row r="88" spans="1:3" ht="15">
      <c r="A88" s="40" t="s">
        <v>2353</v>
      </c>
      <c r="B88" s="42" t="s">
        <v>2378</v>
      </c>
      <c r="C88" s="42" t="s">
        <v>2378</v>
      </c>
    </row>
    <row r="89" spans="1:3">
      <c r="A89" s="40" t="s">
        <v>2353</v>
      </c>
      <c r="B89" s="50" t="s">
        <v>2379</v>
      </c>
      <c r="C89" s="50" t="s">
        <v>2379</v>
      </c>
    </row>
    <row r="90" spans="1:3" s="48" customFormat="1">
      <c r="A90" s="49"/>
      <c r="B90" s="51"/>
      <c r="C90" s="51"/>
    </row>
    <row r="91" spans="1:3" s="48" customFormat="1">
      <c r="A91" s="49"/>
      <c r="B91" s="51"/>
      <c r="C91" s="51"/>
    </row>
    <row r="92" spans="1:3" s="48" customFormat="1">
      <c r="A92" s="49"/>
      <c r="B92" s="51"/>
      <c r="C92" s="51"/>
    </row>
    <row r="93" spans="1:3" s="48" customFormat="1">
      <c r="A93" s="49"/>
      <c r="B93" s="51"/>
      <c r="C93" s="51"/>
    </row>
    <row r="94" spans="1:3" s="48" customFormat="1">
      <c r="A94" s="49"/>
      <c r="B94" s="51"/>
      <c r="C94" s="51"/>
    </row>
    <row r="95" spans="1:3" s="48" customFormat="1">
      <c r="A95" s="49"/>
      <c r="B95" s="51"/>
      <c r="C95" s="51"/>
    </row>
    <row r="96" spans="1:3" s="48" customFormat="1">
      <c r="A96" s="49"/>
      <c r="B96" s="51"/>
      <c r="C96" s="51"/>
    </row>
    <row r="97" spans="1:3" s="48" customFormat="1">
      <c r="A97" s="49"/>
      <c r="B97" s="51"/>
      <c r="C97" s="51"/>
    </row>
    <row r="98" spans="1:3" s="48" customFormat="1">
      <c r="A98" s="49"/>
      <c r="B98" s="51"/>
      <c r="C98" s="51"/>
    </row>
    <row r="99" spans="1:3" s="48" customFormat="1">
      <c r="A99" s="49"/>
      <c r="B99" s="51"/>
      <c r="C99" s="51"/>
    </row>
    <row r="100" spans="1:3" s="48" customFormat="1" ht="18.75">
      <c r="A100" s="33" t="s">
        <v>2280</v>
      </c>
      <c r="B100" s="52" t="s">
        <v>2380</v>
      </c>
      <c r="C100" s="52" t="s">
        <v>2380</v>
      </c>
    </row>
    <row r="101" spans="1:3" s="48" customFormat="1" ht="18.75">
      <c r="A101" s="33" t="s">
        <v>2280</v>
      </c>
      <c r="B101" s="52" t="s">
        <v>2381</v>
      </c>
      <c r="C101" s="52" t="s">
        <v>2381</v>
      </c>
    </row>
    <row r="102" spans="1:3" s="48" customFormat="1" ht="18.75">
      <c r="A102" s="33" t="s">
        <v>2280</v>
      </c>
      <c r="B102" s="52" t="s">
        <v>2382</v>
      </c>
      <c r="C102" s="52" t="s">
        <v>2382</v>
      </c>
    </row>
    <row r="103" spans="1:3" s="48" customFormat="1" ht="18.75">
      <c r="A103" s="33"/>
      <c r="B103" s="52"/>
      <c r="C103" s="52"/>
    </row>
    <row r="104" spans="1:3" s="48" customFormat="1" ht="18.75">
      <c r="A104" s="33" t="s">
        <v>2280</v>
      </c>
      <c r="B104" s="52" t="s">
        <v>2383</v>
      </c>
      <c r="C104" s="52" t="s">
        <v>2383</v>
      </c>
    </row>
    <row r="105" spans="1:3" s="48" customFormat="1" ht="18.75">
      <c r="A105" s="33" t="s">
        <v>2280</v>
      </c>
      <c r="B105" s="52" t="s">
        <v>2384</v>
      </c>
      <c r="C105" s="52" t="s">
        <v>2384</v>
      </c>
    </row>
    <row r="106" spans="1:3" s="48" customFormat="1" ht="18.75">
      <c r="A106" s="33" t="s">
        <v>2280</v>
      </c>
      <c r="B106" s="52" t="s">
        <v>2385</v>
      </c>
      <c r="C106" s="52" t="s">
        <v>2385</v>
      </c>
    </row>
    <row r="107" spans="1:3" s="48" customFormat="1" ht="18.75">
      <c r="A107" s="33" t="s">
        <v>2280</v>
      </c>
      <c r="B107" s="52" t="s">
        <v>2386</v>
      </c>
      <c r="C107" s="52" t="s">
        <v>2386</v>
      </c>
    </row>
    <row r="108" spans="1:3" s="48" customFormat="1" ht="18.75">
      <c r="A108" s="33" t="s">
        <v>2280</v>
      </c>
      <c r="B108" s="52" t="s">
        <v>2387</v>
      </c>
      <c r="C108" s="52" t="s">
        <v>2387</v>
      </c>
    </row>
    <row r="109" spans="1:3" ht="18.75">
      <c r="A109" s="33" t="s">
        <v>2280</v>
      </c>
      <c r="B109" s="52" t="s">
        <v>2388</v>
      </c>
      <c r="C109" s="52" t="s">
        <v>2388</v>
      </c>
    </row>
    <row r="110" spans="1:3" ht="14.25">
      <c r="A110" s="33" t="s">
        <v>2280</v>
      </c>
      <c r="B110" s="39" t="s">
        <v>59</v>
      </c>
      <c r="C110" s="39" t="s">
        <v>59</v>
      </c>
    </row>
    <row r="111" spans="1:3">
      <c r="A111" s="33"/>
      <c r="B111" s="41"/>
      <c r="C111" s="41"/>
    </row>
    <row r="112" spans="1:3">
      <c r="A112" s="33"/>
      <c r="B112" s="41"/>
      <c r="C112" s="41"/>
    </row>
    <row r="113" spans="1:3">
      <c r="A113" s="33"/>
      <c r="B113" s="41"/>
      <c r="C113" s="41"/>
    </row>
    <row r="114" spans="1:3">
      <c r="B114" s="41"/>
      <c r="C114" s="41"/>
    </row>
  </sheetData>
  <phoneticPr fontId="1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zoomScale="70" zoomScaleNormal="70" workbookViewId="0">
      <pane xSplit="2" ySplit="1" topLeftCell="C10" activePane="bottomRight" state="frozen"/>
      <selection pane="topRight"/>
      <selection pane="bottomLeft"/>
      <selection pane="bottomRight" activeCell="B17" sqref="B17:B20"/>
    </sheetView>
  </sheetViews>
  <sheetFormatPr defaultColWidth="9.140625" defaultRowHeight="25.5" customHeight="1"/>
  <cols>
    <col min="1" max="1" width="33.5703125" customWidth="1"/>
    <col min="2" max="2" width="17.5703125" customWidth="1"/>
    <col min="3" max="3" width="131.85546875" style="29" customWidth="1"/>
    <col min="4" max="4" width="23" style="29" customWidth="1"/>
    <col min="5" max="5" width="9.140625" customWidth="1"/>
    <col min="6" max="6" width="21.5703125" style="29" customWidth="1"/>
    <col min="7" max="11" width="9.14062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2284</v>
      </c>
      <c r="J1" s="45" t="s">
        <v>2285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2288</v>
      </c>
      <c r="B4" s="46" t="s">
        <v>2288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2289</v>
      </c>
      <c r="C5" s="35"/>
      <c r="D5" s="35"/>
      <c r="F5" s="35"/>
      <c r="I5" s="35"/>
      <c r="J5" s="35"/>
    </row>
    <row r="6" spans="1:10" s="30" customFormat="1" ht="25.5" customHeight="1">
      <c r="A6" s="46" t="s">
        <v>2290</v>
      </c>
      <c r="B6" s="46" t="s">
        <v>2291</v>
      </c>
      <c r="C6" s="35"/>
      <c r="D6" s="35"/>
      <c r="F6" s="35"/>
      <c r="I6" s="35"/>
      <c r="J6" s="35"/>
    </row>
    <row r="7" spans="1:10" s="30" customFormat="1" ht="25.5" customHeight="1">
      <c r="A7" s="40" t="s">
        <v>2281</v>
      </c>
      <c r="B7" s="43" t="s">
        <v>2280</v>
      </c>
      <c r="C7" s="43" t="s">
        <v>2282</v>
      </c>
      <c r="D7" s="35"/>
      <c r="E7" s="30" t="s">
        <v>72</v>
      </c>
      <c r="F7" s="35"/>
    </row>
    <row r="8" spans="1:10" ht="25.5" customHeight="1">
      <c r="A8" s="33" t="s">
        <v>73</v>
      </c>
      <c r="B8" s="33" t="s">
        <v>74</v>
      </c>
      <c r="C8" s="33" t="s">
        <v>75</v>
      </c>
      <c r="E8" t="s">
        <v>72</v>
      </c>
      <c r="F8" s="44" t="s">
        <v>2283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76</v>
      </c>
      <c r="D9" s="35"/>
      <c r="E9" s="30" t="s">
        <v>72</v>
      </c>
      <c r="F9" s="35"/>
    </row>
    <row r="10" spans="1:10" s="30" customFormat="1" ht="25.5" customHeight="1">
      <c r="A10" s="46" t="s">
        <v>2286</v>
      </c>
      <c r="B10" s="46" t="s">
        <v>2287</v>
      </c>
      <c r="C10" s="35"/>
      <c r="D10" s="35"/>
      <c r="F10" s="35"/>
      <c r="I10" s="46" t="s">
        <v>2317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77</v>
      </c>
      <c r="D11" s="35"/>
      <c r="E11" s="30" t="s">
        <v>72</v>
      </c>
      <c r="F11" s="35"/>
    </row>
    <row r="12" spans="1:10" s="30" customFormat="1" ht="25.5" customHeight="1">
      <c r="A12" s="30" t="s">
        <v>78</v>
      </c>
      <c r="B12" s="30" t="s">
        <v>23</v>
      </c>
      <c r="C12" s="36" t="s">
        <v>79</v>
      </c>
      <c r="D12" s="35"/>
      <c r="E12" s="30" t="s">
        <v>72</v>
      </c>
      <c r="F12" s="35"/>
    </row>
    <row r="13" spans="1:10" s="30" customFormat="1" ht="25.5" customHeight="1">
      <c r="A13" s="30" t="s">
        <v>80</v>
      </c>
      <c r="B13" s="30" t="s">
        <v>29</v>
      </c>
      <c r="C13" s="36" t="s">
        <v>81</v>
      </c>
      <c r="D13" s="35"/>
      <c r="E13" s="30" t="s">
        <v>72</v>
      </c>
      <c r="F13" s="35"/>
    </row>
    <row r="14" spans="1:10" s="30" customFormat="1" ht="25.5" customHeight="1">
      <c r="A14" s="30" t="s">
        <v>82</v>
      </c>
      <c r="B14" s="30" t="s">
        <v>39</v>
      </c>
      <c r="C14" s="36" t="s">
        <v>83</v>
      </c>
      <c r="D14" s="35" t="s">
        <v>84</v>
      </c>
      <c r="E14" s="30" t="s">
        <v>72</v>
      </c>
      <c r="F14" s="35"/>
    </row>
    <row r="15" spans="1:10" s="30" customFormat="1" ht="25.5" customHeight="1">
      <c r="A15" s="30" t="str">
        <f t="shared" ref="A15:A20" si="0">"select_one "&amp;B15</f>
        <v>select_one RELIGIAO</v>
      </c>
      <c r="B15" s="28" t="s">
        <v>44</v>
      </c>
      <c r="C15" s="36" t="s">
        <v>85</v>
      </c>
      <c r="D15" s="35"/>
      <c r="E15" s="30" t="s">
        <v>72</v>
      </c>
      <c r="F15" s="35"/>
    </row>
    <row r="16" spans="1:10" ht="25.5" customHeight="1">
      <c r="A16" t="str">
        <f t="shared" si="0"/>
        <v>select_one AVAL_ADM1</v>
      </c>
      <c r="B16" s="40" t="s">
        <v>48</v>
      </c>
      <c r="C16" s="53" t="s">
        <v>2329</v>
      </c>
      <c r="E16" t="s">
        <v>72</v>
      </c>
    </row>
    <row r="17" spans="1:5" ht="25.5" customHeight="1">
      <c r="A17" t="str">
        <f t="shared" si="0"/>
        <v>select_one AVAL_ADM2</v>
      </c>
      <c r="B17" s="40" t="s">
        <v>52</v>
      </c>
      <c r="C17" s="42" t="s">
        <v>2328</v>
      </c>
      <c r="E17" t="s">
        <v>72</v>
      </c>
    </row>
    <row r="18" spans="1:5" ht="25.5" customHeight="1">
      <c r="A18" t="str">
        <f t="shared" si="0"/>
        <v>select_one AVAL_ADM3</v>
      </c>
      <c r="B18" s="40" t="s">
        <v>2324</v>
      </c>
      <c r="C18" s="54" t="s">
        <v>2330</v>
      </c>
      <c r="E18" t="s">
        <v>72</v>
      </c>
    </row>
    <row r="19" spans="1:5" ht="25.5" customHeight="1">
      <c r="A19" t="str">
        <f t="shared" si="0"/>
        <v>select_one AVAL_ADM4</v>
      </c>
      <c r="B19" s="40" t="s">
        <v>2325</v>
      </c>
      <c r="C19" s="42" t="s">
        <v>2331</v>
      </c>
      <c r="E19" t="s">
        <v>72</v>
      </c>
    </row>
    <row r="20" spans="1:5" ht="25.5" customHeight="1">
      <c r="A20" t="str">
        <f t="shared" si="0"/>
        <v>select_one AVAL_ADM5</v>
      </c>
      <c r="B20" s="40" t="s">
        <v>2326</v>
      </c>
      <c r="C20" s="42" t="s">
        <v>2332</v>
      </c>
      <c r="E20" t="s">
        <v>72</v>
      </c>
    </row>
    <row r="21" spans="1:5" ht="25.5" customHeight="1">
      <c r="A21" s="40" t="s">
        <v>73</v>
      </c>
      <c r="B21" s="40" t="s">
        <v>192</v>
      </c>
      <c r="C21" s="55" t="s">
        <v>2333</v>
      </c>
      <c r="E21" t="s">
        <v>72</v>
      </c>
    </row>
    <row r="22" spans="1:5" ht="25.5" customHeight="1">
      <c r="A22" s="40" t="s">
        <v>73</v>
      </c>
      <c r="B22" s="40" t="s">
        <v>2334</v>
      </c>
      <c r="C22" s="56" t="s">
        <v>2338</v>
      </c>
      <c r="D22" s="42"/>
      <c r="E22" t="s">
        <v>72</v>
      </c>
    </row>
    <row r="23" spans="1:5" ht="25.5" customHeight="1">
      <c r="A23" s="40" t="s">
        <v>73</v>
      </c>
      <c r="B23" s="40" t="s">
        <v>2335</v>
      </c>
      <c r="C23" s="42" t="s">
        <v>2339</v>
      </c>
      <c r="D23" s="42"/>
      <c r="E23" t="s">
        <v>72</v>
      </c>
    </row>
    <row r="24" spans="1:5" ht="25.5" customHeight="1">
      <c r="A24" s="40" t="s">
        <v>73</v>
      </c>
      <c r="B24" s="40" t="s">
        <v>2340</v>
      </c>
      <c r="C24" s="56" t="s">
        <v>2341</v>
      </c>
      <c r="D24" s="42"/>
      <c r="E24" t="s">
        <v>72</v>
      </c>
    </row>
    <row r="25" spans="1:5" ht="25.5" customHeight="1">
      <c r="A25" t="str">
        <f>"select_one "&amp;B25</f>
        <v>select_one INDIC1</v>
      </c>
      <c r="B25" s="40" t="s">
        <v>2336</v>
      </c>
      <c r="C25" s="55" t="s">
        <v>2342</v>
      </c>
      <c r="D25" s="42"/>
      <c r="E25" t="s">
        <v>72</v>
      </c>
    </row>
    <row r="26" spans="1:5" ht="25.5" customHeight="1">
      <c r="A26" t="str">
        <f t="shared" ref="A26:A34" si="1">"select_one "&amp;B26</f>
        <v>select_one EST</v>
      </c>
      <c r="B26" s="40" t="s">
        <v>154</v>
      </c>
      <c r="C26" s="53" t="s">
        <v>2343</v>
      </c>
      <c r="D26" s="42"/>
      <c r="E26" t="s">
        <v>72</v>
      </c>
    </row>
    <row r="27" spans="1:5" ht="25.5" customHeight="1">
      <c r="A27" t="str">
        <f t="shared" si="1"/>
        <v>select_one INDIC2</v>
      </c>
      <c r="B27" s="40" t="s">
        <v>2337</v>
      </c>
      <c r="C27" s="56" t="s">
        <v>2344</v>
      </c>
      <c r="D27" s="42"/>
      <c r="E27" t="s">
        <v>72</v>
      </c>
    </row>
    <row r="28" spans="1:5" ht="25.5" customHeight="1">
      <c r="A28" s="40" t="s">
        <v>73</v>
      </c>
      <c r="B28" s="40" t="s">
        <v>86</v>
      </c>
      <c r="C28" s="53" t="s">
        <v>2345</v>
      </c>
      <c r="D28" s="42"/>
      <c r="E28" t="s">
        <v>72</v>
      </c>
    </row>
    <row r="29" spans="1:5" ht="25.5" customHeight="1">
      <c r="A29" t="str">
        <f t="shared" si="1"/>
        <v>select_one DEP2</v>
      </c>
      <c r="B29" s="40" t="s">
        <v>56</v>
      </c>
      <c r="C29" s="42" t="s">
        <v>2346</v>
      </c>
      <c r="D29" s="42"/>
      <c r="E29" t="s">
        <v>72</v>
      </c>
    </row>
    <row r="30" spans="1:5" ht="25.5" customHeight="1">
      <c r="A30" s="40" t="s">
        <v>73</v>
      </c>
      <c r="B30" s="40" t="s">
        <v>2348</v>
      </c>
      <c r="C30" s="53" t="s">
        <v>2347</v>
      </c>
      <c r="D30" s="42"/>
      <c r="E30" t="s">
        <v>72</v>
      </c>
    </row>
    <row r="31" spans="1:5" ht="25.5" customHeight="1">
      <c r="A31" t="str">
        <f t="shared" si="1"/>
        <v>select_one DEP4</v>
      </c>
      <c r="B31" s="40" t="s">
        <v>2349</v>
      </c>
      <c r="C31" s="42" t="s">
        <v>2350</v>
      </c>
      <c r="D31" s="42"/>
      <c r="E31" t="s">
        <v>72</v>
      </c>
    </row>
    <row r="32" spans="1:5" ht="25.5" customHeight="1">
      <c r="A32" t="str">
        <f t="shared" si="1"/>
        <v>select_one SENA</v>
      </c>
      <c r="B32" s="40" t="s">
        <v>2323</v>
      </c>
      <c r="C32" s="42" t="s">
        <v>2351</v>
      </c>
      <c r="D32" s="42"/>
      <c r="E32" t="s">
        <v>72</v>
      </c>
    </row>
    <row r="33" spans="1:10" ht="25.5" customHeight="1">
      <c r="A33" s="40" t="s">
        <v>73</v>
      </c>
      <c r="B33" s="40" t="s">
        <v>189</v>
      </c>
      <c r="C33" s="53" t="s">
        <v>2352</v>
      </c>
      <c r="D33" s="42"/>
      <c r="E33" t="s">
        <v>72</v>
      </c>
    </row>
    <row r="34" spans="1:10" ht="25.5" customHeight="1">
      <c r="A34" t="str">
        <f t="shared" si="1"/>
        <v>select_one GOV2</v>
      </c>
      <c r="B34" s="40" t="s">
        <v>2353</v>
      </c>
      <c r="C34" s="42" t="s">
        <v>2354</v>
      </c>
      <c r="D34" s="42"/>
    </row>
    <row r="35" spans="1:10" s="30" customFormat="1" ht="24.75" customHeight="1">
      <c r="A35" s="30" t="s">
        <v>88</v>
      </c>
      <c r="B35" s="30" t="s">
        <v>7</v>
      </c>
      <c r="C35" s="35" t="s">
        <v>89</v>
      </c>
      <c r="D35" s="35"/>
      <c r="E35" s="30" t="s">
        <v>72</v>
      </c>
      <c r="F35" s="35"/>
    </row>
    <row r="36" spans="1:10" s="30" customFormat="1" ht="25.5" customHeight="1">
      <c r="A36" s="46" t="s">
        <v>2292</v>
      </c>
      <c r="B36" s="46" t="s">
        <v>2293</v>
      </c>
      <c r="C36" s="35"/>
      <c r="D36" s="35"/>
      <c r="F36" s="35"/>
      <c r="I36" s="35"/>
      <c r="J36" s="47" t="s">
        <v>2294</v>
      </c>
    </row>
    <row r="37" spans="1:10" s="30" customFormat="1" ht="25.5" customHeight="1">
      <c r="A37" s="46" t="s">
        <v>2292</v>
      </c>
      <c r="B37" s="46" t="s">
        <v>2295</v>
      </c>
      <c r="C37" s="35"/>
      <c r="D37" s="35"/>
      <c r="F37" s="35"/>
      <c r="I37" s="35"/>
      <c r="J37" s="47" t="s">
        <v>2296</v>
      </c>
    </row>
    <row r="38" spans="1:10" s="30" customFormat="1" ht="25.5" customHeight="1">
      <c r="A38" s="46" t="s">
        <v>2292</v>
      </c>
      <c r="B38" s="46" t="s">
        <v>2297</v>
      </c>
      <c r="C38" s="35"/>
      <c r="D38" s="35"/>
      <c r="F38" s="35"/>
      <c r="I38" s="35"/>
      <c r="J38" s="47" t="s">
        <v>2298</v>
      </c>
    </row>
    <row r="39" spans="1:10" s="30" customFormat="1" ht="25.5" customHeight="1">
      <c r="A39" s="46" t="s">
        <v>2292</v>
      </c>
      <c r="B39" s="46" t="s">
        <v>2299</v>
      </c>
      <c r="C39" s="35"/>
      <c r="D39" s="35"/>
      <c r="F39" s="35"/>
      <c r="I39" s="35"/>
      <c r="J39" s="47" t="s">
        <v>2300</v>
      </c>
    </row>
    <row r="40" spans="1:10" s="30" customFormat="1" ht="25.5" customHeight="1">
      <c r="A40" s="46" t="s">
        <v>2292</v>
      </c>
      <c r="B40" s="46" t="s">
        <v>2301</v>
      </c>
      <c r="C40" s="35"/>
      <c r="D40" s="35"/>
      <c r="F40" s="35"/>
      <c r="I40" s="35"/>
      <c r="J40" s="47" t="s">
        <v>2302</v>
      </c>
    </row>
    <row r="41" spans="1:10" s="30" customFormat="1" ht="25.5" customHeight="1">
      <c r="A41" s="46" t="s">
        <v>2292</v>
      </c>
      <c r="B41" s="46" t="s">
        <v>2303</v>
      </c>
      <c r="C41" s="35"/>
      <c r="D41" s="35"/>
      <c r="F41" s="35"/>
      <c r="I41" s="35"/>
      <c r="J41" s="47" t="s">
        <v>2304</v>
      </c>
    </row>
    <row r="42" spans="1:10" s="30" customFormat="1" ht="25.5" customHeight="1">
      <c r="A42" s="46" t="s">
        <v>2292</v>
      </c>
      <c r="B42" s="46" t="s">
        <v>2305</v>
      </c>
      <c r="C42" s="35"/>
      <c r="D42" s="35"/>
      <c r="F42" s="35"/>
      <c r="I42" s="35"/>
      <c r="J42" s="47" t="s">
        <v>2306</v>
      </c>
    </row>
    <row r="43" spans="1:10" s="30" customFormat="1" ht="25.5" customHeight="1">
      <c r="A43" s="46" t="s">
        <v>2292</v>
      </c>
      <c r="B43" s="46" t="s">
        <v>2307</v>
      </c>
      <c r="C43" s="35"/>
      <c r="D43" s="35"/>
      <c r="F43" s="35"/>
      <c r="I43" s="35"/>
      <c r="J43" s="47" t="s">
        <v>2308</v>
      </c>
    </row>
    <row r="44" spans="1:10" s="30" customFormat="1" ht="25.5" customHeight="1">
      <c r="A44" s="46" t="s">
        <v>2292</v>
      </c>
      <c r="B44" s="46" t="s">
        <v>2309</v>
      </c>
      <c r="C44" s="35"/>
      <c r="D44" s="35"/>
      <c r="F44" s="35"/>
      <c r="I44" s="35"/>
      <c r="J44" s="47" t="s">
        <v>2310</v>
      </c>
    </row>
    <row r="45" spans="1:10" s="30" customFormat="1" ht="25.5" customHeight="1">
      <c r="A45" s="46" t="s">
        <v>2292</v>
      </c>
      <c r="B45" s="46" t="s">
        <v>2311</v>
      </c>
      <c r="C45" s="35"/>
      <c r="D45" s="35"/>
      <c r="F45" s="35"/>
      <c r="I45" s="35"/>
      <c r="J45" s="47" t="s">
        <v>2312</v>
      </c>
    </row>
    <row r="46" spans="1:10" s="30" customFormat="1" ht="25.5" customHeight="1">
      <c r="A46" s="46" t="s">
        <v>2292</v>
      </c>
      <c r="B46" s="46" t="s">
        <v>2313</v>
      </c>
      <c r="C46" s="35"/>
      <c r="D46" s="35"/>
      <c r="F46" s="35"/>
      <c r="I46" s="35"/>
      <c r="J46" s="47" t="s">
        <v>2314</v>
      </c>
    </row>
    <row r="47" spans="1:10" s="30" customFormat="1" ht="25.5" customHeight="1">
      <c r="A47" s="46" t="s">
        <v>2292</v>
      </c>
      <c r="B47" s="46" t="s">
        <v>2315</v>
      </c>
      <c r="C47" s="35"/>
      <c r="D47" s="35"/>
      <c r="F47" s="35"/>
      <c r="I47" s="35"/>
      <c r="J47" s="47" t="s">
        <v>2316</v>
      </c>
    </row>
  </sheetData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A13" workbookViewId="0">
      <selection activeCell="N37" sqref="N37:P42"/>
    </sheetView>
  </sheetViews>
  <sheetFormatPr defaultColWidth="9" defaultRowHeight="12.75"/>
  <cols>
    <col min="10" max="10" width="15.85546875" customWidth="1"/>
    <col min="14" max="14" width="23.710937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81"/>
  <sheetViews>
    <sheetView topLeftCell="AC555" workbookViewId="0">
      <selection activeCell="A2" sqref="A2:AL581"/>
    </sheetView>
  </sheetViews>
  <sheetFormatPr defaultColWidth="9" defaultRowHeight="12.75"/>
  <cols>
    <col min="1" max="1" width="15.85546875" customWidth="1"/>
    <col min="2" max="2" width="16.7109375" customWidth="1"/>
    <col min="3" max="3" width="15.42578125" customWidth="1"/>
    <col min="4" max="4" width="10.42578125" customWidth="1"/>
    <col min="5" max="5" width="18.140625" customWidth="1"/>
    <col min="6" max="6" width="7.42578125" customWidth="1"/>
    <col min="7" max="7" width="11.140625" customWidth="1"/>
    <col min="8" max="8" width="9.42578125" customWidth="1"/>
    <col min="9" max="9" width="14.140625" customWidth="1"/>
    <col min="10" max="10" width="19.7109375" customWidth="1"/>
    <col min="11" max="11" width="19" customWidth="1"/>
    <col min="12" max="12" width="13.85546875" customWidth="1"/>
    <col min="13" max="14" width="9.42578125" customWidth="1"/>
    <col min="15" max="15" width="13.28515625" customWidth="1"/>
    <col min="16" max="16" width="31.85546875" customWidth="1"/>
    <col min="17" max="17" width="24.42578125" customWidth="1"/>
    <col min="18" max="18" width="18.140625" customWidth="1"/>
    <col min="19" max="19" width="14.42578125" customWidth="1"/>
    <col min="20" max="23" width="21" customWidth="1"/>
    <col min="24" max="24" width="23.7109375" customWidth="1"/>
    <col min="25" max="25" width="24.42578125" customWidth="1"/>
    <col min="26" max="26" width="18.140625" customWidth="1"/>
    <col min="27" max="27" width="16.140625" customWidth="1"/>
    <col min="28" max="29" width="40.28515625" customWidth="1"/>
    <col min="30" max="30" width="12.85546875" customWidth="1"/>
    <col min="31" max="31" width="16.140625" customWidth="1"/>
    <col min="32" max="32" width="19.85546875" customWidth="1"/>
    <col min="33" max="33" width="20.85546875" customWidth="1"/>
    <col min="34" max="34" width="8.140625" customWidth="1"/>
    <col min="35" max="35" width="13.140625" customWidth="1"/>
    <col min="36" max="36" width="22.42578125" customWidth="1"/>
    <col min="37" max="37" width="7" customWidth="1"/>
    <col min="38" max="38" width="13.425781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1"/>
  <sheetViews>
    <sheetView topLeftCell="A3" workbookViewId="0">
      <selection activeCell="E2" sqref="E2:G8"/>
    </sheetView>
  </sheetViews>
  <sheetFormatPr defaultColWidth="9" defaultRowHeight="12.75"/>
  <cols>
    <col min="1" max="1" width="22" customWidth="1"/>
    <col min="5" max="5" width="18.140625" customWidth="1"/>
  </cols>
  <sheetData>
    <row r="2" spans="1:7" ht="15.75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75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75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75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75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75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75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75">
      <c r="A9" s="3" t="s">
        <v>2249</v>
      </c>
      <c r="B9" s="4">
        <v>4.47761194029851E-2</v>
      </c>
      <c r="C9" s="5">
        <v>18</v>
      </c>
    </row>
    <row r="10" spans="1:7" ht="15.75">
      <c r="A10" s="3" t="s">
        <v>2250</v>
      </c>
      <c r="B10" s="4">
        <v>5.4726368159204002E-2</v>
      </c>
      <c r="C10" s="5">
        <v>22</v>
      </c>
    </row>
    <row r="11" spans="1:7" ht="15.75">
      <c r="A11" s="3" t="s">
        <v>2251</v>
      </c>
      <c r="B11" s="4">
        <v>4.47761194029851E-2</v>
      </c>
      <c r="C11" s="5">
        <v>18</v>
      </c>
    </row>
    <row r="12" spans="1:7" ht="15.75">
      <c r="A12" s="3" t="s">
        <v>2252</v>
      </c>
      <c r="B12" s="4">
        <v>3.98009950248756E-2</v>
      </c>
      <c r="C12" s="5">
        <v>16</v>
      </c>
    </row>
    <row r="13" spans="1:7" ht="15.75">
      <c r="A13" s="3" t="s">
        <v>2253</v>
      </c>
      <c r="B13" s="4">
        <v>4.9751243781094502E-2</v>
      </c>
      <c r="C13" s="5">
        <v>20</v>
      </c>
    </row>
    <row r="14" spans="1:7" ht="15.75">
      <c r="A14" s="3" t="s">
        <v>2254</v>
      </c>
      <c r="B14" s="4">
        <v>4.47761194029851E-2</v>
      </c>
      <c r="C14" s="5">
        <v>18</v>
      </c>
    </row>
    <row r="15" spans="1:7" ht="15.75">
      <c r="A15" s="3" t="s">
        <v>2255</v>
      </c>
      <c r="B15" s="4">
        <v>8.7064676616915401E-2</v>
      </c>
      <c r="C15" s="5">
        <v>35</v>
      </c>
    </row>
    <row r="16" spans="1:7" ht="15.75">
      <c r="A16" s="3" t="s">
        <v>2256</v>
      </c>
      <c r="B16" s="4">
        <v>7.4626865671641798E-2</v>
      </c>
      <c r="C16" s="5">
        <v>30</v>
      </c>
    </row>
    <row r="17" spans="1:3" ht="15.75">
      <c r="A17" s="3" t="s">
        <v>2257</v>
      </c>
      <c r="B17" s="4">
        <v>8.7064676616915401E-2</v>
      </c>
      <c r="C17" s="5">
        <v>35</v>
      </c>
    </row>
    <row r="18" spans="1:3" ht="15.75">
      <c r="A18" s="6" t="s">
        <v>2258</v>
      </c>
      <c r="B18" s="7">
        <v>4.9751243781094502E-2</v>
      </c>
      <c r="C18" s="8">
        <v>20</v>
      </c>
    </row>
    <row r="19" spans="1:3" ht="15.75">
      <c r="A19" s="9" t="s">
        <v>2248</v>
      </c>
      <c r="B19" s="10">
        <v>1</v>
      </c>
      <c r="C19" s="11">
        <v>402</v>
      </c>
    </row>
    <row r="21" spans="1:3" ht="15.75">
      <c r="A21" s="1" t="s">
        <v>2259</v>
      </c>
      <c r="B21" s="2" t="s">
        <v>90</v>
      </c>
      <c r="C21" s="2" t="s">
        <v>91</v>
      </c>
    </row>
    <row r="22" spans="1:3" ht="15.75">
      <c r="A22" s="3" t="s">
        <v>112</v>
      </c>
      <c r="B22" s="4">
        <v>0.19402985074626899</v>
      </c>
      <c r="C22" s="5">
        <v>78</v>
      </c>
    </row>
    <row r="23" spans="1:3" ht="15.75">
      <c r="A23" s="3" t="s">
        <v>49</v>
      </c>
      <c r="B23" s="4">
        <v>0.181592039800995</v>
      </c>
      <c r="C23" s="5">
        <v>73</v>
      </c>
    </row>
    <row r="24" spans="1:3" ht="15.75">
      <c r="A24" s="3" t="s">
        <v>50</v>
      </c>
      <c r="B24" s="4">
        <v>0.26119402985074602</v>
      </c>
      <c r="C24" s="5">
        <v>105</v>
      </c>
    </row>
    <row r="25" spans="1:3" ht="15.75">
      <c r="A25" s="3" t="s">
        <v>51</v>
      </c>
      <c r="B25" s="4">
        <v>0.124378109452736</v>
      </c>
      <c r="C25" s="5">
        <v>50</v>
      </c>
    </row>
    <row r="26" spans="1:3" ht="15.75">
      <c r="A26" s="6" t="s">
        <v>37</v>
      </c>
      <c r="B26" s="7">
        <v>0.238805970149254</v>
      </c>
      <c r="C26" s="8">
        <v>96</v>
      </c>
    </row>
    <row r="27" spans="1:3" ht="15.75">
      <c r="A27" s="9" t="s">
        <v>2248</v>
      </c>
      <c r="B27" s="10">
        <v>1</v>
      </c>
      <c r="C27" s="11">
        <v>402</v>
      </c>
    </row>
    <row r="29" spans="1:3" ht="15.75">
      <c r="A29" s="1" t="s">
        <v>48</v>
      </c>
      <c r="B29" s="2" t="s">
        <v>90</v>
      </c>
      <c r="C29" s="2" t="s">
        <v>91</v>
      </c>
    </row>
    <row r="30" spans="1:3" ht="15.75">
      <c r="A30" s="3" t="s">
        <v>53</v>
      </c>
      <c r="B30" s="4">
        <v>0.50995024875621897</v>
      </c>
      <c r="C30" s="5">
        <v>205</v>
      </c>
    </row>
    <row r="31" spans="1:3" ht="15.75">
      <c r="A31" s="3" t="s">
        <v>54</v>
      </c>
      <c r="B31" s="4">
        <v>0.402985074626866</v>
      </c>
      <c r="C31" s="5">
        <v>162</v>
      </c>
    </row>
    <row r="32" spans="1:3" ht="15.75">
      <c r="A32" s="6" t="s">
        <v>129</v>
      </c>
      <c r="B32" s="7">
        <v>8.7064676616915401E-2</v>
      </c>
      <c r="C32" s="8">
        <v>35</v>
      </c>
    </row>
    <row r="33" spans="1:3" ht="15.75">
      <c r="A33" s="9" t="s">
        <v>2248</v>
      </c>
      <c r="B33" s="10">
        <v>1</v>
      </c>
      <c r="C33" s="11">
        <v>402</v>
      </c>
    </row>
    <row r="35" spans="1:3" ht="15.75">
      <c r="A35" s="1" t="s">
        <v>2260</v>
      </c>
      <c r="B35" s="2" t="s">
        <v>90</v>
      </c>
      <c r="C35" s="2" t="s">
        <v>91</v>
      </c>
    </row>
    <row r="36" spans="1:3" ht="15.75">
      <c r="A36" s="3" t="s">
        <v>179</v>
      </c>
      <c r="B36" s="4">
        <v>0.24626865671641801</v>
      </c>
      <c r="C36" s="5">
        <v>99</v>
      </c>
    </row>
    <row r="37" spans="1:3" ht="15.75">
      <c r="A37" s="3" t="s">
        <v>181</v>
      </c>
      <c r="B37" s="4">
        <v>0.29601990049751198</v>
      </c>
      <c r="C37" s="5">
        <v>119</v>
      </c>
    </row>
    <row r="38" spans="1:3" ht="15.75">
      <c r="A38" s="3" t="s">
        <v>55</v>
      </c>
      <c r="B38" s="4">
        <v>0.41542288557213902</v>
      </c>
      <c r="C38" s="5">
        <v>167</v>
      </c>
    </row>
    <row r="39" spans="1:3" ht="15.75">
      <c r="A39" s="6" t="s">
        <v>129</v>
      </c>
      <c r="B39" s="7">
        <v>4.2288557213930399E-2</v>
      </c>
      <c r="C39" s="8">
        <v>17</v>
      </c>
    </row>
    <row r="40" spans="1:3" ht="15.75">
      <c r="A40" s="9" t="s">
        <v>2248</v>
      </c>
      <c r="B40" s="10">
        <v>1</v>
      </c>
      <c r="C40" s="11">
        <v>402</v>
      </c>
    </row>
    <row r="42" spans="1:3" ht="15.75">
      <c r="A42" s="1" t="s">
        <v>2261</v>
      </c>
      <c r="B42" s="2" t="s">
        <v>90</v>
      </c>
      <c r="C42" s="2" t="s">
        <v>91</v>
      </c>
    </row>
    <row r="43" spans="1:3" ht="15.75">
      <c r="A43" s="3" t="s">
        <v>37</v>
      </c>
      <c r="B43" s="4">
        <v>0.25621890547263698</v>
      </c>
      <c r="C43" s="5">
        <v>103</v>
      </c>
    </row>
    <row r="44" spans="1:3" ht="15.75">
      <c r="A44" s="3" t="s">
        <v>57</v>
      </c>
      <c r="B44" s="4">
        <v>0.18905472636815901</v>
      </c>
      <c r="C44" s="5">
        <v>76</v>
      </c>
    </row>
    <row r="45" spans="1:3" ht="15.75">
      <c r="A45" s="3" t="s">
        <v>2262</v>
      </c>
      <c r="B45" s="4">
        <v>0.17661691542288599</v>
      </c>
      <c r="C45" s="5">
        <v>71</v>
      </c>
    </row>
    <row r="46" spans="1:3" ht="15.75">
      <c r="A46" s="3" t="s">
        <v>2263</v>
      </c>
      <c r="B46" s="4">
        <v>9.9502487562189101E-2</v>
      </c>
      <c r="C46" s="5">
        <v>40</v>
      </c>
    </row>
    <row r="47" spans="1:3" ht="15.75">
      <c r="A47" s="3" t="s">
        <v>1721</v>
      </c>
      <c r="B47" s="4">
        <v>9.4527363184079602E-2</v>
      </c>
      <c r="C47" s="5">
        <v>38</v>
      </c>
    </row>
    <row r="48" spans="1:3" ht="15.75">
      <c r="A48" s="3" t="s">
        <v>2264</v>
      </c>
      <c r="B48" s="4">
        <v>7.7114427860696499E-2</v>
      </c>
      <c r="C48" s="5">
        <v>31</v>
      </c>
    </row>
    <row r="49" spans="1:3" ht="15.75">
      <c r="A49" s="3" t="s">
        <v>2265</v>
      </c>
      <c r="B49" s="4">
        <v>5.7213930348258703E-2</v>
      </c>
      <c r="C49" s="5">
        <v>23</v>
      </c>
    </row>
    <row r="50" spans="1:3" ht="15.75">
      <c r="A50" s="3" t="s">
        <v>2266</v>
      </c>
      <c r="B50" s="4">
        <v>3.7313432835820899E-2</v>
      </c>
      <c r="C50" s="5">
        <v>15</v>
      </c>
    </row>
    <row r="51" spans="1:3" ht="15.75">
      <c r="A51" s="3" t="s">
        <v>2267</v>
      </c>
      <c r="B51" s="4">
        <v>4.97512437810945E-3</v>
      </c>
      <c r="C51" s="5">
        <v>2</v>
      </c>
    </row>
    <row r="52" spans="1:3" ht="15.75">
      <c r="A52" s="3" t="s">
        <v>2268</v>
      </c>
      <c r="B52" s="4">
        <v>2.4875621890547298E-3</v>
      </c>
      <c r="C52" s="5">
        <v>1</v>
      </c>
    </row>
    <row r="53" spans="1:3" ht="15.75">
      <c r="A53" s="3" t="s">
        <v>2269</v>
      </c>
      <c r="B53" s="4">
        <v>2.4875621890547298E-3</v>
      </c>
      <c r="C53" s="5">
        <v>1</v>
      </c>
    </row>
    <row r="54" spans="1:3" ht="15.75">
      <c r="A54" s="6" t="s">
        <v>2270</v>
      </c>
      <c r="B54" s="7">
        <v>2.4875621890547298E-3</v>
      </c>
      <c r="C54" s="8">
        <v>1</v>
      </c>
    </row>
    <row r="55" spans="1:3" ht="15.75">
      <c r="A55" s="9" t="s">
        <v>2248</v>
      </c>
      <c r="B55" s="10">
        <v>1</v>
      </c>
      <c r="C55" s="11">
        <v>402</v>
      </c>
    </row>
    <row r="57" spans="1:3" ht="15.75">
      <c r="A57" s="1" t="s">
        <v>2271</v>
      </c>
      <c r="B57" s="2" t="s">
        <v>90</v>
      </c>
      <c r="C57" s="2" t="s">
        <v>91</v>
      </c>
    </row>
    <row r="58" spans="1:3" ht="15.75">
      <c r="A58" s="3" t="s">
        <v>2263</v>
      </c>
      <c r="B58" s="4">
        <v>0.19402985074626899</v>
      </c>
      <c r="C58" s="5">
        <v>78</v>
      </c>
    </row>
    <row r="59" spans="1:3" ht="15.75">
      <c r="A59" s="3" t="s">
        <v>2264</v>
      </c>
      <c r="B59" s="4">
        <v>0.18407960199005</v>
      </c>
      <c r="C59" s="5">
        <v>74</v>
      </c>
    </row>
    <row r="60" spans="1:3" ht="15.75">
      <c r="A60" s="3" t="s">
        <v>2272</v>
      </c>
      <c r="B60" s="4">
        <v>0.15671641791044799</v>
      </c>
      <c r="C60" s="5">
        <v>63</v>
      </c>
    </row>
    <row r="61" spans="1:3" ht="15.75">
      <c r="A61" s="3" t="s">
        <v>2273</v>
      </c>
      <c r="B61" s="4">
        <v>0.101990049751244</v>
      </c>
      <c r="C61" s="5">
        <v>41</v>
      </c>
    </row>
    <row r="62" spans="1:3" ht="15.75">
      <c r="A62" s="3" t="s">
        <v>2268</v>
      </c>
      <c r="B62" s="4">
        <v>9.4527363184079602E-2</v>
      </c>
      <c r="C62" s="5">
        <v>38</v>
      </c>
    </row>
    <row r="63" spans="1:3" ht="15.75">
      <c r="A63" s="3" t="s">
        <v>2274</v>
      </c>
      <c r="B63" s="4">
        <v>8.7064676616915401E-2</v>
      </c>
      <c r="C63" s="5">
        <v>35</v>
      </c>
    </row>
    <row r="64" spans="1:3" ht="15.75">
      <c r="A64" s="3" t="s">
        <v>127</v>
      </c>
      <c r="B64" s="4">
        <v>7.4626865671641798E-2</v>
      </c>
      <c r="C64" s="5">
        <v>30</v>
      </c>
    </row>
    <row r="65" spans="1:3" ht="15.75">
      <c r="A65" s="3" t="s">
        <v>2275</v>
      </c>
      <c r="B65" s="4">
        <v>6.9651741293532299E-2</v>
      </c>
      <c r="C65" s="5">
        <v>28</v>
      </c>
    </row>
    <row r="66" spans="1:3" ht="15.75">
      <c r="A66" s="3" t="s">
        <v>2276</v>
      </c>
      <c r="B66" s="4">
        <v>2.9850746268656699E-2</v>
      </c>
      <c r="C66" s="5">
        <v>12</v>
      </c>
    </row>
    <row r="67" spans="1:3" ht="15.75">
      <c r="A67" s="6" t="s">
        <v>2277</v>
      </c>
      <c r="B67" s="7">
        <v>7.4626865671641798E-3</v>
      </c>
      <c r="C67" s="8">
        <v>3</v>
      </c>
    </row>
    <row r="68" spans="1:3" ht="15.75">
      <c r="A68" s="9" t="s">
        <v>2248</v>
      </c>
      <c r="B68" s="10">
        <v>1</v>
      </c>
      <c r="C68" s="11">
        <v>402</v>
      </c>
    </row>
    <row r="70" spans="1:3" ht="15.75">
      <c r="A70" s="1" t="s">
        <v>163</v>
      </c>
      <c r="B70" s="2" t="s">
        <v>90</v>
      </c>
      <c r="C70" s="2" t="s">
        <v>91</v>
      </c>
    </row>
    <row r="71" spans="1:3" ht="15.75">
      <c r="A71" s="3" t="s">
        <v>2273</v>
      </c>
      <c r="B71" s="4">
        <v>0.15920398009950201</v>
      </c>
      <c r="C71" s="5">
        <v>64</v>
      </c>
    </row>
    <row r="72" spans="1:3" ht="15.75">
      <c r="A72" s="3" t="s">
        <v>2268</v>
      </c>
      <c r="B72" s="4">
        <v>0.134328358208955</v>
      </c>
      <c r="C72" s="5">
        <v>54</v>
      </c>
    </row>
    <row r="73" spans="1:3" ht="15.75">
      <c r="A73" s="3" t="s">
        <v>2275</v>
      </c>
      <c r="B73" s="4">
        <v>0.13681592039800999</v>
      </c>
      <c r="C73" s="5">
        <v>55</v>
      </c>
    </row>
    <row r="74" spans="1:3" ht="15.75">
      <c r="A74" s="3" t="s">
        <v>127</v>
      </c>
      <c r="B74" s="4">
        <v>0.109452736318408</v>
      </c>
      <c r="C74" s="5">
        <v>44</v>
      </c>
    </row>
    <row r="75" spans="1:3" ht="15.75">
      <c r="A75" s="3" t="s">
        <v>2276</v>
      </c>
      <c r="B75" s="4">
        <v>9.2039800995024901E-2</v>
      </c>
      <c r="C75" s="5">
        <v>37</v>
      </c>
    </row>
    <row r="76" spans="1:3" ht="15.75">
      <c r="A76" s="3" t="s">
        <v>2272</v>
      </c>
      <c r="B76" s="4">
        <v>9.2039800995024901E-2</v>
      </c>
      <c r="C76" s="5">
        <v>37</v>
      </c>
    </row>
    <row r="77" spans="1:3" ht="15.75">
      <c r="A77" s="3" t="s">
        <v>2263</v>
      </c>
      <c r="B77" s="4">
        <v>8.9552238805970102E-2</v>
      </c>
      <c r="C77" s="5">
        <v>36</v>
      </c>
    </row>
    <row r="78" spans="1:3" ht="15.75">
      <c r="A78" s="3" t="s">
        <v>2264</v>
      </c>
      <c r="B78" s="4">
        <v>7.4626865671641798E-2</v>
      </c>
      <c r="C78" s="5">
        <v>30</v>
      </c>
    </row>
    <row r="79" spans="1:3" ht="15.75">
      <c r="A79" s="3" t="s">
        <v>2274</v>
      </c>
      <c r="B79" s="4">
        <v>5.9701492537313397E-2</v>
      </c>
      <c r="C79" s="5">
        <v>24</v>
      </c>
    </row>
    <row r="80" spans="1:3" ht="15.75">
      <c r="A80" s="6" t="s">
        <v>2277</v>
      </c>
      <c r="B80" s="7">
        <v>5.22388059701493E-2</v>
      </c>
      <c r="C80" s="8">
        <v>21</v>
      </c>
    </row>
    <row r="81" spans="1:3" ht="15.75">
      <c r="A81" s="9" t="s">
        <v>2248</v>
      </c>
      <c r="B81" s="10">
        <v>1</v>
      </c>
      <c r="C81" s="11">
        <v>402</v>
      </c>
    </row>
    <row r="83" spans="1:3" ht="15.75">
      <c r="A83" s="1" t="s">
        <v>2278</v>
      </c>
      <c r="B83" s="2" t="s">
        <v>90</v>
      </c>
      <c r="C83" s="2" t="s">
        <v>91</v>
      </c>
    </row>
    <row r="84" spans="1:3" ht="15.75">
      <c r="A84" s="3" t="s">
        <v>2272</v>
      </c>
      <c r="B84" s="4">
        <v>0.28109452736318402</v>
      </c>
      <c r="C84" s="5">
        <v>113</v>
      </c>
    </row>
    <row r="85" spans="1:3" ht="15.75">
      <c r="A85" s="3" t="s">
        <v>57</v>
      </c>
      <c r="B85" s="4">
        <v>0.20646766169154199</v>
      </c>
      <c r="C85" s="5">
        <v>83</v>
      </c>
    </row>
    <row r="86" spans="1:3" ht="15.75">
      <c r="A86" s="3" t="s">
        <v>129</v>
      </c>
      <c r="B86" s="4">
        <v>0.16169154228855701</v>
      </c>
      <c r="C86" s="5">
        <v>65</v>
      </c>
    </row>
    <row r="87" spans="1:3" ht="15.75">
      <c r="A87" s="3" t="s">
        <v>2275</v>
      </c>
      <c r="B87" s="4">
        <v>0.106965174129353</v>
      </c>
      <c r="C87" s="5">
        <v>43</v>
      </c>
    </row>
    <row r="88" spans="1:3" ht="15.75">
      <c r="A88" s="3" t="s">
        <v>2274</v>
      </c>
      <c r="B88" s="4">
        <v>0.104477611940299</v>
      </c>
      <c r="C88" s="5">
        <v>42</v>
      </c>
    </row>
    <row r="89" spans="1:3" ht="15.75">
      <c r="A89" s="3" t="s">
        <v>2268</v>
      </c>
      <c r="B89" s="4">
        <v>8.7064676616915401E-2</v>
      </c>
      <c r="C89" s="5">
        <v>35</v>
      </c>
    </row>
    <row r="90" spans="1:3" ht="15.75">
      <c r="A90" s="6" t="s">
        <v>2276</v>
      </c>
      <c r="B90" s="7">
        <v>5.22388059701493E-2</v>
      </c>
      <c r="C90" s="8">
        <v>21</v>
      </c>
    </row>
    <row r="91" spans="1:3" ht="15.75">
      <c r="A91" s="9" t="s">
        <v>2248</v>
      </c>
      <c r="B91" s="10">
        <v>1</v>
      </c>
      <c r="C91" s="11">
        <v>402</v>
      </c>
    </row>
    <row r="93" spans="1:3" ht="15.75">
      <c r="A93" s="1" t="s">
        <v>2279</v>
      </c>
      <c r="B93" s="2" t="s">
        <v>90</v>
      </c>
      <c r="C93" s="2" t="s">
        <v>91</v>
      </c>
    </row>
    <row r="94" spans="1:3" ht="15.75">
      <c r="A94" s="3" t="s">
        <v>2272</v>
      </c>
      <c r="B94" s="4">
        <v>0.211442786069652</v>
      </c>
      <c r="C94" s="5">
        <v>85</v>
      </c>
    </row>
    <row r="95" spans="1:3" ht="15.75">
      <c r="A95" s="3" t="s">
        <v>57</v>
      </c>
      <c r="B95" s="4">
        <v>0.19900497512437801</v>
      </c>
      <c r="C95" s="5">
        <v>80</v>
      </c>
    </row>
    <row r="96" spans="1:3" ht="15.75">
      <c r="A96" s="3" t="s">
        <v>129</v>
      </c>
      <c r="B96" s="4">
        <v>0.181592039800995</v>
      </c>
      <c r="C96" s="5">
        <v>73</v>
      </c>
    </row>
    <row r="97" spans="1:3" ht="15.75">
      <c r="A97" s="3" t="s">
        <v>2275</v>
      </c>
      <c r="B97" s="4">
        <v>0.134328358208955</v>
      </c>
      <c r="C97" s="5">
        <v>54</v>
      </c>
    </row>
    <row r="98" spans="1:3" ht="15.75">
      <c r="A98" s="3" t="s">
        <v>2274</v>
      </c>
      <c r="B98" s="4">
        <v>0.109452736318408</v>
      </c>
      <c r="C98" s="5">
        <v>44</v>
      </c>
    </row>
    <row r="99" spans="1:3" ht="15.75">
      <c r="A99" s="3" t="s">
        <v>2276</v>
      </c>
      <c r="B99" s="4">
        <v>9.2039800995024901E-2</v>
      </c>
      <c r="C99" s="5">
        <v>37</v>
      </c>
    </row>
    <row r="100" spans="1:3" ht="15.75">
      <c r="A100" s="6" t="s">
        <v>2268</v>
      </c>
      <c r="B100" s="7">
        <v>7.2139303482587097E-2</v>
      </c>
      <c r="C100" s="8">
        <v>29</v>
      </c>
    </row>
    <row r="101" spans="1:3" ht="15.75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matheus</cp:lastModifiedBy>
  <dcterms:created xsi:type="dcterms:W3CDTF">2019-09-13T13:08:00Z</dcterms:created>
  <dcterms:modified xsi:type="dcterms:W3CDTF">2026-07-02T19:48:40Z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