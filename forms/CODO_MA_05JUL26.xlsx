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i5_8GBNVMe_WINDOWS10\Documents\BMO\"/>
    </mc:Choice>
  </mc:AlternateContent>
  <bookViews>
    <workbookView xWindow="-120" yWindow="-120" windowWidth="28116" windowHeight="16440" tabRatio="640"/>
  </bookViews>
  <sheets>
    <sheet name="settings" sheetId="3" r:id="rId1"/>
    <sheet name="choices" sheetId="2" r:id="rId2"/>
    <sheet name="survey" sheetId="1" r:id="rId3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SHBOARD_ADM">#REF!</definedName>
    <definedName name="dashboard_adm2">#REF!</definedName>
    <definedName name="DASHBOARD_ADM3">#REF!</definedName>
    <definedName name="DASHBOARD_POLITICO">#REF!</definedName>
    <definedName name="DASHBOARD2">#REF!</definedName>
    <definedName name="DASHOARD1">#REF!</definedName>
    <definedName name="TELA_MENU">#REF!</definedName>
    <definedName name="TELA_METODOLOGIA">#REF!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" i="1" l="1"/>
  <c r="A11" i="1"/>
  <c r="A9" i="1"/>
  <c r="A29" i="1" l="1"/>
  <c r="A30" i="1"/>
  <c r="A31" i="1"/>
  <c r="A20" i="1"/>
  <c r="A26" i="1" l="1"/>
  <c r="A17" i="1" l="1"/>
  <c r="A28" i="1"/>
  <c r="A24" i="1"/>
  <c r="A19" i="1" l="1"/>
  <c r="A18" i="1"/>
  <c r="A16" i="1" l="1"/>
</calcChain>
</file>

<file path=xl/connections.xml><?xml version="1.0" encoding="utf-8"?>
<connections xmlns="http://schemas.openxmlformats.org/spreadsheetml/2006/main">
  <connection id="1" keepAlive="1" name="Consulta - 01_MUNDO_NOVO_BA_15JUL22_results" description="Conexão com a consulta '01_MUNDO_NOVO_BA_15JUL22_results' na pasta de trabalho." type="5" refreshedVersion="8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keepAlive="1" name="Consulta - ARARI_08MAR24VF" description="Conexão com a consulta 'ARARI_08MAR24VF' na pasta de trabalho." type="5" refreshedVersion="0" background="1">
    <dbPr connection="Provider=Microsoft.Mashup.OleDb.1;Data Source=$Workbook$;Location=ARARI_08MAR24VF;Extended Properties=&quot;&quot;" command="SELECT * FROM [ARARI_08MAR24VF]"/>
  </connection>
  <connection id="3" keepAlive="1" name="Consulta - ARARI_09MAR24" description="Conexão com a consulta 'ARARI_09MAR24' na pasta de trabalho." type="5" refreshedVersion="7" background="1" saveData="1">
    <dbPr connection="Provider=Microsoft.Mashup.OleDb.1;Data Source=$Workbook$;Location=ARARI_09MAR24;Extended Properties=&quot;&quot;" command="SELECT * FROM [ARARI_09MAR24]"/>
  </connection>
  <connection id="4" keepAlive="1" name="Consulta - BACABAL_22ABR24" description="Conexão com a consulta 'BACABAL_22ABR24' na pasta de trabalho." type="5" refreshedVersion="0" background="1">
    <dbPr connection="Provider=Microsoft.Mashup.OleDb.1;Data Source=$Workbook$;Location=BACABAL_22ABR24;Extended Properties=&quot;&quot;" command="SELECT * FROM [BACABAL_22ABR24]"/>
  </connection>
  <connection id="5" keepAlive="1" name="Consulta - BACABAL_23ABR24" description="Conexão com a consulta 'BACABAL_23ABR24' na pasta de trabalho." type="5" refreshedVersion="8" background="1" saveData="1">
    <dbPr connection="Provider=Microsoft.Mashup.OleDb.1;Data Source=$Workbook$;Location=BACABAL_23ABR24;Extended Properties=&quot;&quot;" command="SELECT * FROM [BACABAL_23ABR24]"/>
  </connection>
  <connection id="6" keepAlive="1" name="Consulta - BELA_VISTA_15MAI24" description="Conexão com a consulta 'BELA_VISTA_15MAI24' na pasta de trabalho." type="5" refreshedVersion="8" background="1" saveData="1">
    <dbPr connection="Provider=Microsoft.Mashup.OleDb.1;Data Source=$Workbook$;Location=BELA_VISTA_15MAI24;Extended Properties=&quot;&quot;" command="SELECT * FROM [BELA_VISTA_15MAI24]"/>
  </connection>
  <connection id="7" keepAlive="1" name="Consulta - CAPINZAL_NORTE_14ABR24_VF" description="Conexão com a consulta 'CAPINZAL_NORTE_14ABR24_VF' na pasta de trabalho." type="5" refreshedVersion="8" background="1" saveData="1">
    <dbPr connection="Provider=Microsoft.Mashup.OleDb.1;Data Source=$Workbook$;Location=CAPINZAL_NORTE_14ABR24_VF;Extended Properties=&quot;&quot;" command="SELECT * FROM [CAPINZAL_NORTE_14ABR24_VF]"/>
  </connection>
  <connection id="8" keepAlive="1" name="Consulta - JOSELANDIA_09ABR24" description="Conexão com a consulta 'JOSELANDIA_09ABR24' na pasta de trabalho." type="5" refreshedVersion="8" background="1" saveData="1">
    <dbPr connection="Provider=Microsoft.Mashup.OleDb.1;Data Source=$Workbook$;Location=JOSELANDIA_09ABR24;Extended Properties=&quot;&quot;" command="SELECT * FROM [JOSELANDIA_09ABR24]"/>
  </connection>
  <connection id="9" keepAlive="1" name="Consulta - LAGO_VERDE_14MAR24" description="Conexão com a consulta 'LAGO_VERDE_14MAR24' na pasta de trabalho." type="5" refreshedVersion="8" background="1" saveData="1">
    <dbPr connection="Provider=Microsoft.Mashup.OleDb.1;Data Source=$Workbook$;Location=LAGO_VERDE_14MAR24;Extended Properties=&quot;&quot;" command="SELECT * FROM [LAGO_VERDE_14MAR24]"/>
  </connection>
  <connection id="10" keepAlive="1" name="Consulta - OLHO_DAGUA_CUNHA_15MAIO25 (1)" description="Conexão com a consulta 'OLHO_DAGUA_CUNHA_15MAIO25 (1)' na pasta de trabalho." type="5" refreshedVersion="7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keepAlive="1" name="Consulta - PINDARE_26ABR24" description="Conexão com a consulta 'PINDARE_26ABR24' na pasta de trabalho." type="5" refreshedVersion="7" background="1" saveData="1">
    <dbPr connection="Provider=Microsoft.Mashup.OleDb.1;Data Source=$Workbook$;Location=PINDARE_26ABR24;Extended Properties=&quot;&quot;" command="SELECT * FROM [PINDARE_26ABR24]"/>
  </connection>
  <connection id="12" keepAlive="1" name="Consulta - PINDARE_MIRIM_17JAN24" description="Conexão com a consulta 'PINDARE_MIRIM_17JAN24' na pasta de trabalho." type="5" refreshedVersion="8" background="1" saveData="1">
    <dbPr connection="Provider=Microsoft.Mashup.OleDb.1;Data Source=$Workbook$;Location=PINDARE_MIRIM_17JAN24;Extended Properties=&quot;&quot;" command="SELECT * FROM [PINDARE_MIRIM_17JAN24]"/>
  </connection>
  <connection id="13" keepAlive="1" name="Consulta - PINDARE_MIRIM_23MAR24_VF" description="Conexão com a consulta 'PINDARE_MIRIM_23MAR24_VF' na pasta de trabalho." type="5" refreshedVersion="8" background="1" saveData="1">
    <dbPr connection="Provider=Microsoft.Mashup.OleDb.1;Data Source=$Workbook$;Location=PINDARE_MIRIM_23MAR24_VF;Extended Properties=&quot;&quot;" command="SELECT * FROM [PINDARE_MIRIM_23MAR24_VF]"/>
  </connection>
  <connection id="14" keepAlive="1" name="Consulta - SAO_MATEUS_24MAIO24" description="Conexão com a consulta 'SAO_MATEUS_24MAIO24' na pasta de trabalho." type="5" refreshedVersion="8" background="1" saveData="1">
    <dbPr connection="Provider=Microsoft.Mashup.OleDb.1;Data Source=$Workbook$;Location=SAO_MATEUS_24MAIO24;Extended Properties=&quot;&quot;" command="SELECT * FROM [SAO_MATEUS_24MAIO24]"/>
  </connection>
  <connection id="15" keepAlive="1" name="Consulta - Submissions" description="Conexão com a consulta 'Submissions' na pasta de trabalho." type="5" refreshedVersion="7" background="1" saveData="1">
    <dbPr connection="Provider=Microsoft.Mashup.OleDb.1;Data Source=$Workbook$;Location=Submissions;Extended Properties=&quot;&quot;" command="SELECT * FROM [Submissions]"/>
  </connection>
  <connection id="16" keepAlive="1" name="Consulta - Submissions (2)" description="Conexão com a consulta 'Submissions (2)' na pasta de trabalho." type="5" refreshedVersion="7" background="1" saveData="1">
    <dbPr connection="Provider=Microsoft.Mashup.OleDb.1;Data Source=$Workbook$;Location=&quot;Submissions (2)&quot;;Extended Properties=&quot;&quot;" command="SELECT * FROM [Submissions (2)]"/>
  </connection>
</connections>
</file>

<file path=xl/sharedStrings.xml><?xml version="1.0" encoding="utf-8"?>
<sst xmlns="http://schemas.openxmlformats.org/spreadsheetml/2006/main" count="689" uniqueCount="282">
  <si>
    <t>type</t>
  </si>
  <si>
    <t>name</t>
  </si>
  <si>
    <t>label</t>
  </si>
  <si>
    <t>hint</t>
  </si>
  <si>
    <t>required</t>
  </si>
  <si>
    <t>relevant</t>
  </si>
  <si>
    <t>start</t>
  </si>
  <si>
    <t>end</t>
  </si>
  <si>
    <t>today</t>
  </si>
  <si>
    <t>select_one ENTREVISTADOR</t>
  </si>
  <si>
    <t>ENTREVISTADOR</t>
  </si>
  <si>
    <t>Entrevistador:</t>
  </si>
  <si>
    <t>yes</t>
  </si>
  <si>
    <t>text</t>
  </si>
  <si>
    <t>select_one IDADE</t>
  </si>
  <si>
    <t>IDADE</t>
  </si>
  <si>
    <t>select_one ESCOLARIDADE</t>
  </si>
  <si>
    <t>ESCOLARIDADE</t>
  </si>
  <si>
    <t>select_one RENDA_FAMILIAR</t>
  </si>
  <si>
    <t>RENDA_FAMILIAR</t>
  </si>
  <si>
    <t>Caso a pessoa tenha dúvidas cite as opções</t>
  </si>
  <si>
    <t>list_name</t>
  </si>
  <si>
    <t>Feminino</t>
  </si>
  <si>
    <t>Masculino</t>
  </si>
  <si>
    <t>form_title</t>
  </si>
  <si>
    <t>default_language</t>
  </si>
  <si>
    <t>version</t>
  </si>
  <si>
    <t>Portuguese</t>
  </si>
  <si>
    <t>SEXO</t>
  </si>
  <si>
    <t>25 a 34 anos</t>
  </si>
  <si>
    <t>35 a 44 anos</t>
  </si>
  <si>
    <t>RELIGIAO</t>
  </si>
  <si>
    <t>ENTREVISTADOR1</t>
  </si>
  <si>
    <t>ENTREVISTADOR2</t>
  </si>
  <si>
    <t>ENTREVISTADOR3</t>
  </si>
  <si>
    <t>ENTREVISTADOR4</t>
  </si>
  <si>
    <t>ENTREVISTADOR5</t>
  </si>
  <si>
    <t>parameters</t>
  </si>
  <si>
    <t>ZONA</t>
  </si>
  <si>
    <t>Zona Urbana</t>
  </si>
  <si>
    <t>Zona Rural</t>
  </si>
  <si>
    <t>60 anos ou mais</t>
  </si>
  <si>
    <t>45 a 59 anos</t>
  </si>
  <si>
    <t>16 a 24 anos</t>
  </si>
  <si>
    <t>Não sabe/Não respondeu</t>
  </si>
  <si>
    <t>ENTREVISTADOR6</t>
  </si>
  <si>
    <t>ENTREVISTADOR7</t>
  </si>
  <si>
    <t>ENTREVISTADOR8</t>
  </si>
  <si>
    <t>ENTREVISTADOR9</t>
  </si>
  <si>
    <t>Regular</t>
  </si>
  <si>
    <t>Ruim</t>
  </si>
  <si>
    <t>Péssima</t>
  </si>
  <si>
    <t>Analfabeto/Lê e escreve</t>
  </si>
  <si>
    <t>Fundamental (completo/incompleto)</t>
  </si>
  <si>
    <t>Ensino Médio (completo/incompleto)</t>
  </si>
  <si>
    <t>Superior (completo/incompleto)</t>
  </si>
  <si>
    <t>Até 1 sal.mínimo</t>
  </si>
  <si>
    <t>Acima de 5 sal.mínimo</t>
  </si>
  <si>
    <t>Católica</t>
  </si>
  <si>
    <t>Evangélica</t>
  </si>
  <si>
    <t>Outras religiões</t>
  </si>
  <si>
    <t>de 1 a 2 sal.mínimo</t>
  </si>
  <si>
    <t>de 2 a 5 sal.mínimo</t>
  </si>
  <si>
    <t>media::audio</t>
  </si>
  <si>
    <t>NS/NR</t>
  </si>
  <si>
    <t>Fundamental</t>
  </si>
  <si>
    <t>Ensino Médio</t>
  </si>
  <si>
    <t>Superior</t>
  </si>
  <si>
    <t>Nenhum</t>
  </si>
  <si>
    <t>Aprova</t>
  </si>
  <si>
    <t>Desaprova</t>
  </si>
  <si>
    <t>LOC1</t>
  </si>
  <si>
    <t>AVAL_ADM2</t>
  </si>
  <si>
    <t>Infraestrutura</t>
  </si>
  <si>
    <t>Água</t>
  </si>
  <si>
    <t>Esgoto</t>
  </si>
  <si>
    <t>Estradas</t>
  </si>
  <si>
    <t>OUTRO</t>
  </si>
  <si>
    <t>Boa</t>
  </si>
  <si>
    <t>Não quis opinar</t>
  </si>
  <si>
    <t>INFO</t>
  </si>
  <si>
    <t>MEIO</t>
  </si>
  <si>
    <t>GOV</t>
  </si>
  <si>
    <t>Sim, muito bem informado</t>
  </si>
  <si>
    <t>Razoavelmente informado</t>
  </si>
  <si>
    <t>Pouco informado</t>
  </si>
  <si>
    <t>Não informado</t>
  </si>
  <si>
    <t>Redes Sociais</t>
  </si>
  <si>
    <t>Jornais Impressos</t>
  </si>
  <si>
    <t>Site oficial da Prefeitura</t>
  </si>
  <si>
    <t>Televisão</t>
  </si>
  <si>
    <t>Radios</t>
  </si>
  <si>
    <t xml:space="preserve">Reuniões comunitárias </t>
  </si>
  <si>
    <t>Não Sabe</t>
  </si>
  <si>
    <t xml:space="preserve">Ótima </t>
  </si>
  <si>
    <t>Felipe Camarão</t>
  </si>
  <si>
    <t>Orleans Brandão</t>
  </si>
  <si>
    <t>Eduardo Braide</t>
  </si>
  <si>
    <t>Eliziane Gama</t>
  </si>
  <si>
    <t>PROB</t>
  </si>
  <si>
    <t>PRES</t>
  </si>
  <si>
    <t>Lula</t>
  </si>
  <si>
    <t>Ronaldo Caiado</t>
  </si>
  <si>
    <t>INDIC</t>
  </si>
  <si>
    <t>Weverton Rocha</t>
  </si>
  <si>
    <t xml:space="preserve">André Fufuca </t>
  </si>
  <si>
    <t>Roberto Rocha</t>
  </si>
  <si>
    <t>César Pires</t>
  </si>
  <si>
    <t>Romeu Zema</t>
  </si>
  <si>
    <t>Saúde/ Médicos/ Posto de saúde/ Remédios</t>
  </si>
  <si>
    <t>Educação/ creche/ escola</t>
  </si>
  <si>
    <t>Limpeza pública</t>
  </si>
  <si>
    <t>Segurança</t>
  </si>
  <si>
    <t>Lazer/ Cultura</t>
  </si>
  <si>
    <t>Esporte</t>
  </si>
  <si>
    <t>Assistência social</t>
  </si>
  <si>
    <t>Moradia</t>
  </si>
  <si>
    <t>As ruas/ Asfalto</t>
  </si>
  <si>
    <t>Praças</t>
  </si>
  <si>
    <t>Transporte público</t>
  </si>
  <si>
    <t>Emprego</t>
  </si>
  <si>
    <t>Trânsito</t>
  </si>
  <si>
    <t>AVAL_ADM</t>
  </si>
  <si>
    <t>AVAL_GOV</t>
  </si>
  <si>
    <t>AVAL_PRES</t>
  </si>
  <si>
    <t>13. Se a eleição para Deputado Federal Fosse hoje e os candidatos fossem estes, em qual o Sr. Votaria?</t>
  </si>
  <si>
    <t>Espontânea</t>
  </si>
  <si>
    <t>Estimulada</t>
  </si>
  <si>
    <t>SANTA FILOMENA</t>
  </si>
  <si>
    <t>RESIDENCIAL SANTA RITA</t>
  </si>
  <si>
    <t>VILA FOMENTO</t>
  </si>
  <si>
    <t>VILA BINÉ</t>
  </si>
  <si>
    <t>VILA ELIANE</t>
  </si>
  <si>
    <t>NOVO MILINIO</t>
  </si>
  <si>
    <t>VEREDA TROPICAL</t>
  </si>
  <si>
    <t>VILA CAMILO</t>
  </si>
  <si>
    <t>SÃO PEDRO</t>
  </si>
  <si>
    <t>CODÓ NOVO</t>
  </si>
  <si>
    <t>CENTRO</t>
  </si>
  <si>
    <t>TRIZIDELA</t>
  </si>
  <si>
    <t>SÃO FRANCISCO</t>
  </si>
  <si>
    <t>SANTO ANTÔNIO</t>
  </si>
  <si>
    <t>SANTA TEREZINHA</t>
  </si>
  <si>
    <t>SÃO RAIMUNDO</t>
  </si>
  <si>
    <t>SÃO SEBASTIÃO</t>
  </si>
  <si>
    <t>RESIDENCIAL TRIZIDELA</t>
  </si>
  <si>
    <t>CONJUNTO MUTIRÃO</t>
  </si>
  <si>
    <t>NOVA JERUSALEM</t>
  </si>
  <si>
    <t>SÃO BENEDITO</t>
  </si>
  <si>
    <t>PARQUE VITÓRIA</t>
  </si>
  <si>
    <t>SÃO JOSÉ</t>
  </si>
  <si>
    <t>KM 17</t>
  </si>
  <si>
    <t>CAJAZEIRA</t>
  </si>
  <si>
    <t>BACABINHA</t>
  </si>
  <si>
    <t>MONTE VIDEO 1 E 2</t>
  </si>
  <si>
    <t>CANTO DO COXO</t>
  </si>
  <si>
    <t>SANTA RITA DO MOISÉS</t>
  </si>
  <si>
    <t>SACO</t>
  </si>
  <si>
    <t>LAGOA DOS SALES</t>
  </si>
  <si>
    <t>SANTANA DO MACHADO</t>
  </si>
  <si>
    <t>Votaria com Certeza</t>
  </si>
  <si>
    <t>Poderia Votar</t>
  </si>
  <si>
    <t>Não votaria de jeito nenhum</t>
  </si>
  <si>
    <t>Francisco Nagib</t>
  </si>
  <si>
    <t>Daniela Gentil</t>
  </si>
  <si>
    <t>Larissa DP</t>
  </si>
  <si>
    <t xml:space="preserve">Zé Francisco </t>
  </si>
  <si>
    <t>Amanda Gentil</t>
  </si>
  <si>
    <t>Pedro Lucas</t>
  </si>
  <si>
    <t>Marcio Jerry</t>
  </si>
  <si>
    <t>Vinicius Ferro</t>
  </si>
  <si>
    <t>Zé Francisco</t>
  </si>
  <si>
    <t>1. De forma geral, como você avalia a administração do Prefeito de Codó, Chiquinho FC?</t>
  </si>
  <si>
    <t xml:space="preserve">2. O Sr.(a) aprova ou desaprova a administração do Prefeito de Codó, Chiquinho FC? </t>
  </si>
  <si>
    <r>
      <t>3. O Sr.(a) aprova ou desaprova a administração do</t>
    </r>
    <r>
      <rPr>
        <b/>
        <sz val="10"/>
        <color theme="1"/>
        <rFont val="Times New Roman"/>
        <family val="1"/>
      </rPr>
      <t xml:space="preserve"> Governador Carlos Brandão?</t>
    </r>
  </si>
  <si>
    <r>
      <t>4. O Sr.(a) aprova ou desaprova a administração do</t>
    </r>
    <r>
      <rPr>
        <b/>
        <sz val="10"/>
        <color theme="1"/>
        <rFont val="Times New Roman"/>
        <family val="1"/>
      </rPr>
      <t xml:space="preserve"> Presidente Lula?</t>
    </r>
  </si>
  <si>
    <t>5. Qual desses nomes o Sr.(a) considera como sendo a maior liderança politica de Codó?</t>
  </si>
  <si>
    <t>LIDER</t>
  </si>
  <si>
    <t>6. O que o Sr.(a) consideram como mais positivo atualmente na administração do Prefeito Chiquinho FC</t>
  </si>
  <si>
    <t>POSIT</t>
  </si>
  <si>
    <t>7. E o que considera como mais negativo:</t>
  </si>
  <si>
    <t>NEGAT</t>
  </si>
  <si>
    <t>8. Qual a obra ou ação do Governo Chiquinho FC o  Sr.(a) gostaria que fosse realizado(a) aqui no seu bairro/povoado em 2026?</t>
  </si>
  <si>
    <t>OBRA</t>
  </si>
  <si>
    <t xml:space="preserve">10. Se a eleição para Deputado Estadual fosse hoje, em quem o Sr.(a) Votaria? </t>
  </si>
  <si>
    <t xml:space="preserve">11. Se a eleição para Deputado Estadual Fosse hoje e os candidatos fossem estes, em qual o Sr. Votaria? </t>
  </si>
  <si>
    <t xml:space="preserve">12. Se a eleição para Deputado Federal fosse hoje, em quem o Sr.(a) Votaria? </t>
  </si>
  <si>
    <t>DEP1</t>
  </si>
  <si>
    <t>DEP2</t>
  </si>
  <si>
    <t xml:space="preserve">14. Se a eleição para Governador do Maranhão Fosse hj e os candidatos fossem estes, em qual o Sr. Votaria? </t>
  </si>
  <si>
    <t>DEP3</t>
  </si>
  <si>
    <t>DEP4</t>
  </si>
  <si>
    <t xml:space="preserve">15. Se a eleição para Senador do Maranhão fosse hoje, e os candidatos fossem estes, em qual o Sr. Votaria? </t>
  </si>
  <si>
    <t>(O entrevistado pode indicar dois nomes neste quesito)</t>
  </si>
  <si>
    <t>SENA1</t>
  </si>
  <si>
    <t>Chiquinho FC</t>
  </si>
  <si>
    <t>Zito Rolim</t>
  </si>
  <si>
    <t>Biné Figueiredo</t>
  </si>
  <si>
    <t>Juscelino Filho (com o apoio do Prefeito Chiquinho FC)</t>
  </si>
  <si>
    <t>Flávio Bolsonaro</t>
  </si>
  <si>
    <t>Renan Santos</t>
  </si>
  <si>
    <t>Weverton_Rocha</t>
  </si>
  <si>
    <t>Eliziane_Gama</t>
  </si>
  <si>
    <t>André_Fufuca_</t>
  </si>
  <si>
    <t>Roberto_Rocha</t>
  </si>
  <si>
    <t>César_Pires</t>
  </si>
  <si>
    <t>Não_Sabe</t>
  </si>
  <si>
    <t>deviceid</t>
  </si>
  <si>
    <t>data_entrevista</t>
  </si>
  <si>
    <t>start-geopoint</t>
  </si>
  <si>
    <t>gps_inicio</t>
  </si>
  <si>
    <t>select_one bairros</t>
  </si>
  <si>
    <t>bairros</t>
  </si>
  <si>
    <t>Bairro/localidade</t>
  </si>
  <si>
    <t>${bairros} = 'OUTRO'</t>
  </si>
  <si>
    <t>background-geopoint</t>
  </si>
  <si>
    <t>gps_final</t>
  </si>
  <si>
    <t>${bairros}</t>
  </si>
  <si>
    <t>Qual?</t>
  </si>
  <si>
    <t>Sexo</t>
  </si>
  <si>
    <t>Idade (Abaixo de 16, não aplicar)</t>
  </si>
  <si>
    <t>Qual sua escolaridade?</t>
  </si>
  <si>
    <t>Qual a renda da sua família?</t>
  </si>
  <si>
    <t>Religião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</si>
  <si>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</si>
  <si>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</si>
  <si>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</si>
  <si>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</si>
  <si>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</si>
  <si>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</si>
  <si>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</si>
  <si>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</si>
  <si>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</si>
  <si>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</si>
  <si>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</si>
  <si>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</si>
  <si>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</si>
  <si>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</si>
  <si>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</si>
  <si>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</si>
  <si>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</si>
  <si>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</si>
  <si>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</si>
  <si>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</si>
  <si>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</si>
  <si>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</si>
  <si>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</si>
  <si>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</si>
  <si>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</si>
  <si>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Angico</t>
  </si>
  <si>
    <t>Santa Rita do Deusdete</t>
  </si>
  <si>
    <t>Santa Rita do Aureliano</t>
  </si>
  <si>
    <t>9. Nas eleições deste ano, 2026 o Sr. (a) votaria nos candidatos indicados pelo prefeito de Codó, Chiquinho FC?</t>
  </si>
  <si>
    <t>16. Se a eleição para Presidente fosse hoje, e os candidatos fossem estes, em qual o Sr. Votaria?</t>
  </si>
  <si>
    <t xml:space="preserve">Francisco Nagib </t>
  </si>
  <si>
    <t>Dr. Cláudio Paz</t>
  </si>
  <si>
    <t xml:space="preserve">Yuri Corrêa </t>
  </si>
  <si>
    <t xml:space="preserve">Paulo Cazé </t>
  </si>
  <si>
    <t xml:space="preserve">Rui Jorge </t>
  </si>
  <si>
    <t xml:space="preserve">Adelmo Soares </t>
  </si>
  <si>
    <t xml:space="preserve">Natássia Weba </t>
  </si>
  <si>
    <t>Antônio Borba</t>
  </si>
  <si>
    <t xml:space="preserve">Guilherme Oliveira </t>
  </si>
  <si>
    <t xml:space="preserve">Pedro Belo </t>
  </si>
  <si>
    <t xml:space="preserve">Othelino Neto </t>
  </si>
  <si>
    <t>Kleber Verde</t>
  </si>
  <si>
    <t>Dr Orlando</t>
  </si>
  <si>
    <t>Marreca Filho</t>
  </si>
  <si>
    <t>Lahésio Bonfim</t>
  </si>
  <si>
    <t>Roseana Sarney</t>
  </si>
  <si>
    <t>Dr. Hilton Gonçalo</t>
  </si>
  <si>
    <t>Duarte Júnior</t>
  </si>
  <si>
    <t>Augusto Cury</t>
  </si>
  <si>
    <t>Lahésio_Bonfim</t>
  </si>
  <si>
    <t>Roseana_Sarney</t>
  </si>
  <si>
    <t>Dr._Hilton_Gonçalo</t>
  </si>
  <si>
    <t>Duarte_Júnior</t>
  </si>
  <si>
    <t>trigger</t>
  </si>
  <si>
    <t>calculation</t>
  </si>
  <si>
    <t>França do Macacaquinho</t>
  </si>
  <si>
    <t>Gleydson Rezende</t>
  </si>
  <si>
    <t>CODO_MA_05JUL26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</si>
</sst>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5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verdana"/>
      <family val="2"/>
    </font>
    <font>
      <sz val="10"/>
      <color rgb="FF000000"/>
      <name val="Calibri"/>
      <family val="2"/>
      <scheme val="minor"/>
    </font>
    <font>
      <sz val="6"/>
      <name val="Arial"/>
      <family val="2"/>
    </font>
    <font>
      <sz val="12"/>
      <color theme="1"/>
      <name val="Arial"/>
      <family val="2"/>
    </font>
    <font>
      <sz val="10"/>
      <color theme="1"/>
      <name val="Calibri"/>
      <charset val="134"/>
      <scheme val="minor"/>
    </font>
    <font>
      <sz val="10"/>
      <color theme="1"/>
      <name val="Arial Unicode MS"/>
    </font>
    <font>
      <b/>
      <sz val="10"/>
      <color theme="1"/>
      <name val="Calibri"/>
      <charset val="134"/>
      <scheme val="minor"/>
    </font>
    <font>
      <sz val="8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</borders>
  <cellStyleXfs count="223">
    <xf numFmtId="0" fontId="0" fillId="0" borderId="0">
      <alignment vertical="center"/>
    </xf>
    <xf numFmtId="0" fontId="5" fillId="0" borderId="0"/>
    <xf numFmtId="0" fontId="4" fillId="0" borderId="0"/>
    <xf numFmtId="0" fontId="3" fillId="0" borderId="0"/>
    <xf numFmtId="0" fontId="7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7" fillId="0" borderId="0">
      <alignment vertical="center"/>
    </xf>
    <xf numFmtId="0" fontId="18" fillId="0" borderId="0"/>
    <xf numFmtId="0" fontId="1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0" fontId="1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20" fillId="0" borderId="1" xfId="9" applyFont="1" applyBorder="1" applyAlignment="1">
      <alignment vertical="center"/>
    </xf>
    <xf numFmtId="0" fontId="20" fillId="0" borderId="0" xfId="9" applyFo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21" fillId="2" borderId="0" xfId="0" applyFont="1" applyFill="1">
      <alignment vertical="center"/>
    </xf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12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6" fillId="0" borderId="0" xfId="0" applyFont="1" applyAlignment="1">
      <alignment horizontal="center" vertical="center" wrapText="1"/>
    </xf>
  </cellXfs>
  <cellStyles count="223">
    <cellStyle name="Moeda 2" xfId="208"/>
    <cellStyle name="Moeda 2 2" xfId="212"/>
    <cellStyle name="Moeda 2 3" xfId="214"/>
    <cellStyle name="Moeda 3" xfId="209"/>
    <cellStyle name="Moeda 3 2" xfId="213"/>
    <cellStyle name="Moeda 3 3" xfId="215"/>
    <cellStyle name="Moeda 4" xfId="221"/>
    <cellStyle name="Moeda 5" xfId="222"/>
    <cellStyle name="Normal" xfId="0" builtinId="0"/>
    <cellStyle name="Normal 10" xfId="216"/>
    <cellStyle name="Normal 11" xfId="218"/>
    <cellStyle name="Normal 12" xfId="219"/>
    <cellStyle name="Normal 13" xfId="9"/>
    <cellStyle name="Normal 2" xfId="1"/>
    <cellStyle name="Normal 2 2" xfId="13"/>
    <cellStyle name="Normal 2 2 2" xfId="31"/>
    <cellStyle name="Normal 2 3" xfId="14"/>
    <cellStyle name="Normal 2 3 2" xfId="25"/>
    <cellStyle name="Normal 2 4" xfId="23"/>
    <cellStyle name="Normal 2 5" xfId="30"/>
    <cellStyle name="Normal 2 6" xfId="206"/>
    <cellStyle name="Normal 2 7" xfId="10"/>
    <cellStyle name="Normal 3" xfId="4"/>
    <cellStyle name="Normal 3 2" xfId="21"/>
    <cellStyle name="Normal 3 3" xfId="18"/>
    <cellStyle name="Normal 3 4" xfId="28"/>
    <cellStyle name="Normal 3 5" xfId="207"/>
    <cellStyle name="Normal 3 6" xfId="217"/>
    <cellStyle name="Normal 3 7" xfId="11"/>
    <cellStyle name="Normal 4" xfId="5"/>
    <cellStyle name="Normal 4 2" xfId="20"/>
    <cellStyle name="Normal 4 3" xfId="19"/>
    <cellStyle name="Normal 4 4" xfId="24"/>
    <cellStyle name="Normal 4 5" xfId="12"/>
    <cellStyle name="Normal 5" xfId="3"/>
    <cellStyle name="Normal 5 2" xfId="27"/>
    <cellStyle name="Normal 5 3" xfId="211"/>
    <cellStyle name="Normal 5 4" xfId="17"/>
    <cellStyle name="Normal 6" xfId="2"/>
    <cellStyle name="Normal 6 2" xfId="26"/>
    <cellStyle name="Normal 6 3" xfId="210"/>
    <cellStyle name="Normal 6 4" xfId="16"/>
    <cellStyle name="Normal 7" xfId="6"/>
    <cellStyle name="Normal 7 2" xfId="22"/>
    <cellStyle name="Normal 8" xfId="29"/>
    <cellStyle name="Normal 9" xfId="205"/>
    <cellStyle name="Porcentagem 2" xfId="7"/>
    <cellStyle name="Porcentagem 2 2" xfId="15"/>
    <cellStyle name="Porcentagem 3" xfId="8"/>
    <cellStyle name="style1591964957599" xfId="75"/>
    <cellStyle name="style1591964957692" xfId="76"/>
    <cellStyle name="style1591964958224" xfId="80"/>
    <cellStyle name="style1591964958317" xfId="81"/>
    <cellStyle name="style1595345450882" xfId="60"/>
    <cellStyle name="style1595345450937" xfId="61"/>
    <cellStyle name="style1595345450996" xfId="62"/>
    <cellStyle name="style1595345451037" xfId="63"/>
    <cellStyle name="style1595345451077" xfId="66"/>
    <cellStyle name="style1595345451120" xfId="69"/>
    <cellStyle name="style1595345451175" xfId="64"/>
    <cellStyle name="style1595345451214" xfId="65"/>
    <cellStyle name="style1595345451252" xfId="67"/>
    <cellStyle name="style1595345451292" xfId="68"/>
    <cellStyle name="style1595345451370" xfId="70"/>
    <cellStyle name="style1595345451415" xfId="71"/>
    <cellStyle name="style1597530095746" xfId="82"/>
    <cellStyle name="style1597530095813" xfId="85"/>
    <cellStyle name="style1597530097145" xfId="84"/>
    <cellStyle name="style1597530097209" xfId="87"/>
    <cellStyle name="style1597530097368" xfId="72"/>
    <cellStyle name="style1597530097463" xfId="77"/>
    <cellStyle name="style1597530097548" xfId="73"/>
    <cellStyle name="style1597530097611" xfId="74"/>
    <cellStyle name="style1597530097678" xfId="78"/>
    <cellStyle name="style1597530097737" xfId="79"/>
    <cellStyle name="style1597530097805" xfId="83"/>
    <cellStyle name="style1597530097869" xfId="86"/>
    <cellStyle name="style1599307395750" xfId="32"/>
    <cellStyle name="style1599307395811" xfId="33"/>
    <cellStyle name="style1599307395857" xfId="34"/>
    <cellStyle name="style1599307395903" xfId="35"/>
    <cellStyle name="style1599307395949" xfId="36"/>
    <cellStyle name="style1599307396002" xfId="37"/>
    <cellStyle name="style1599307396045" xfId="38"/>
    <cellStyle name="style1599307396085" xfId="39"/>
    <cellStyle name="style1599307396123" xfId="40"/>
    <cellStyle name="style1599307396160" xfId="41"/>
    <cellStyle name="style1599307396201" xfId="42"/>
    <cellStyle name="style1599307396240" xfId="43"/>
    <cellStyle name="style1599307396279" xfId="44"/>
    <cellStyle name="style1599307396319" xfId="45"/>
    <cellStyle name="style1599307396361" xfId="46"/>
    <cellStyle name="style1599307396402" xfId="47"/>
    <cellStyle name="style1599307396461" xfId="48"/>
    <cellStyle name="style1599307396516" xfId="49"/>
    <cellStyle name="style1599307396578" xfId="50"/>
    <cellStyle name="style1599307396645" xfId="51"/>
    <cellStyle name="style1599307396696" xfId="52"/>
    <cellStyle name="style1599307396753" xfId="53"/>
    <cellStyle name="style1599307396787" xfId="54"/>
    <cellStyle name="style1599307396839" xfId="55"/>
    <cellStyle name="style1599307396871" xfId="56"/>
    <cellStyle name="style1599307396904" xfId="57"/>
    <cellStyle name="style1599307396936" xfId="58"/>
    <cellStyle name="style1599307396969" xfId="59"/>
    <cellStyle name="style1602107064352" xfId="88"/>
    <cellStyle name="style1602107064405" xfId="89"/>
    <cellStyle name="style1602107064561" xfId="90"/>
    <cellStyle name="style1602107064799" xfId="91"/>
    <cellStyle name="style1602107064846" xfId="92"/>
    <cellStyle name="style1602107064894" xfId="93"/>
    <cellStyle name="style1602107064942" xfId="96"/>
    <cellStyle name="style1602107064987" xfId="94"/>
    <cellStyle name="style1602107065030" xfId="95"/>
    <cellStyle name="style1602107065299" xfId="102"/>
    <cellStyle name="style1602107065342" xfId="107"/>
    <cellStyle name="style1602107065385" xfId="97"/>
    <cellStyle name="style1602107065429" xfId="98"/>
    <cellStyle name="style1602107065472" xfId="103"/>
    <cellStyle name="style1602107065513" xfId="108"/>
    <cellStyle name="style1602107065668" xfId="115"/>
    <cellStyle name="style1602107065712" xfId="99"/>
    <cellStyle name="style1602107065761" xfId="100"/>
    <cellStyle name="style1602107065805" xfId="101"/>
    <cellStyle name="style1602107065848" xfId="104"/>
    <cellStyle name="style1602107065888" xfId="105"/>
    <cellStyle name="style1602107065932" xfId="106"/>
    <cellStyle name="style1602107065973" xfId="109"/>
    <cellStyle name="style1602107066015" xfId="110"/>
    <cellStyle name="style1602107066056" xfId="111"/>
    <cellStyle name="style1602107066097" xfId="112"/>
    <cellStyle name="style1602107066128" xfId="113"/>
    <cellStyle name="style1602107066160" xfId="114"/>
    <cellStyle name="style1602107066252" xfId="116"/>
    <cellStyle name="style1602107066300" xfId="117"/>
    <cellStyle name="style1602107066344" xfId="118"/>
    <cellStyle name="style1602128844787" xfId="119"/>
    <cellStyle name="style1602128844834" xfId="120"/>
    <cellStyle name="style1602128844881" xfId="121"/>
    <cellStyle name="style1602128844928" xfId="122"/>
    <cellStyle name="style1602128844975" xfId="123"/>
    <cellStyle name="style1602128845006" xfId="124"/>
    <cellStyle name="style1602128845054" xfId="129"/>
    <cellStyle name="style1602128845085" xfId="125"/>
    <cellStyle name="style1602128845132" xfId="130"/>
    <cellStyle name="style1602128845179" xfId="137"/>
    <cellStyle name="style1602128845210" xfId="138"/>
    <cellStyle name="style1602128845257" xfId="126"/>
    <cellStyle name="style1602128845288" xfId="127"/>
    <cellStyle name="style1602128845320" xfId="128"/>
    <cellStyle name="style1602128845351" xfId="131"/>
    <cellStyle name="style1602128845382" xfId="132"/>
    <cellStyle name="style1602128845413" xfId="133"/>
    <cellStyle name="style1602128845444" xfId="134"/>
    <cellStyle name="style1602128845476" xfId="135"/>
    <cellStyle name="style1602128845491" xfId="136"/>
    <cellStyle name="style1602128845554" xfId="139"/>
    <cellStyle name="style1602128845586" xfId="140"/>
    <cellStyle name="style1602128845620" xfId="141"/>
    <cellStyle name="style1602354738610" xfId="142"/>
    <cellStyle name="style1602354738655" xfId="145"/>
    <cellStyle name="style1602354738749" xfId="143"/>
    <cellStyle name="style1602354738784" xfId="144"/>
    <cellStyle name="style1602354738861" xfId="146"/>
    <cellStyle name="style1602354738892" xfId="147"/>
    <cellStyle name="style1602636757965" xfId="148"/>
    <cellStyle name="style1602636758007" xfId="151"/>
    <cellStyle name="style1602636758100" xfId="149"/>
    <cellStyle name="style1602636758130" xfId="150"/>
    <cellStyle name="style1602636758203" xfId="152"/>
    <cellStyle name="style1602636758232" xfId="153"/>
    <cellStyle name="style1602640151386" xfId="154"/>
    <cellStyle name="style1602640151426" xfId="157"/>
    <cellStyle name="style1602640151506" xfId="155"/>
    <cellStyle name="style1602640151535" xfId="156"/>
    <cellStyle name="style1602640151602" xfId="158"/>
    <cellStyle name="style1602640151631" xfId="159"/>
    <cellStyle name="style1604162118324" xfId="160"/>
    <cellStyle name="style1604162118388" xfId="163"/>
    <cellStyle name="style1604162118505" xfId="161"/>
    <cellStyle name="style1604162118567" xfId="162"/>
    <cellStyle name="style1604162118683" xfId="164"/>
    <cellStyle name="style1604162118738" xfId="165"/>
    <cellStyle name="style1604186778176" xfId="166"/>
    <cellStyle name="style1604186778260" xfId="169"/>
    <cellStyle name="style1604186778439" xfId="167"/>
    <cellStyle name="style1604186778533" xfId="168"/>
    <cellStyle name="style1604186778704" xfId="170"/>
    <cellStyle name="style1604186778786" xfId="171"/>
    <cellStyle name="style1662258457480" xfId="173"/>
    <cellStyle name="style1662258457527" xfId="174"/>
    <cellStyle name="style1662258457573" xfId="172"/>
    <cellStyle name="style1662258457620" xfId="175"/>
    <cellStyle name="style1662258457683" xfId="176"/>
    <cellStyle name="style1662258457730" xfId="177"/>
    <cellStyle name="style1662258457761" xfId="178"/>
    <cellStyle name="style1662258457808" xfId="181"/>
    <cellStyle name="style1662258457856" xfId="184"/>
    <cellStyle name="style1662258457902" xfId="179"/>
    <cellStyle name="style1662258457949" xfId="180"/>
    <cellStyle name="style1662258457981" xfId="182"/>
    <cellStyle name="style1662258458027" xfId="183"/>
    <cellStyle name="style1662258458090" xfId="185"/>
    <cellStyle name="style1662258458137" xfId="186"/>
    <cellStyle name="style1662258458184" xfId="187"/>
    <cellStyle name="style1662258458230" xfId="191"/>
    <cellStyle name="style1662258458277" xfId="188"/>
    <cellStyle name="style1662258458324" xfId="189"/>
    <cellStyle name="style1662258458355" xfId="190"/>
    <cellStyle name="style1662258458387" xfId="192"/>
    <cellStyle name="style1662258458433" xfId="193"/>
    <cellStyle name="style1662258458475" xfId="194"/>
    <cellStyle name="style1662258458511" xfId="195"/>
    <cellStyle name="style1662258458550" xfId="196"/>
    <cellStyle name="style1662258458598" xfId="197"/>
    <cellStyle name="style1662258458648" xfId="198"/>
    <cellStyle name="style1662258458687" xfId="199"/>
    <cellStyle name="style1662258458739" xfId="200"/>
    <cellStyle name="style1662258458796" xfId="201"/>
    <cellStyle name="style1662258458831" xfId="202"/>
    <cellStyle name="style1662258458866" xfId="203"/>
    <cellStyle name="style1662258458906" xfId="204"/>
    <cellStyle name="Vírgula 2" xfId="220"/>
  </cellStyles>
  <dxfs count="4">
    <dxf>
      <fill>
        <patternFill patternType="none">
          <bgColor auto="1"/>
        </patternFill>
      </fill>
    </dxf>
    <dxf>
      <font>
        <b/>
        <i val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AUG" table="0" count="3">
      <tableStyleElement type="headerRow" dxfId="3"/>
      <tableStyleElement type="totalRow" dxfId="2"/>
      <tableStyleElement type="firstHeaderCell" dxfId="1"/>
    </tableStyle>
    <tableStyle name="Estilo de Tabela Dinâmica 1" table="0" count="1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C2"/>
  <sheetViews>
    <sheetView tabSelected="1" workbookViewId="0">
      <selection activeCell="A3" sqref="A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1" customFormat="1">
      <c r="A1" s="1" t="s">
        <v>24</v>
      </c>
      <c r="B1" s="1" t="s">
        <v>25</v>
      </c>
      <c r="C1" s="1" t="s">
        <v>26</v>
      </c>
    </row>
    <row r="2" spans="1:3">
      <c r="A2" s="4" t="s">
        <v>281</v>
      </c>
      <c r="B2" t="s">
        <v>27</v>
      </c>
      <c r="C2">
        <v>20260705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D191"/>
  <sheetViews>
    <sheetView workbookViewId="0">
      <pane xSplit="1" ySplit="1" topLeftCell="B82" activePane="bottomRight" state="frozen"/>
      <selection activeCell="A5" sqref="A5"/>
      <selection pane="topRight" activeCell="A5" sqref="A5"/>
      <selection pane="bottomLeft" activeCell="A5" sqref="A5"/>
      <selection pane="bottomRight" activeCell="C97" sqref="C97"/>
    </sheetView>
  </sheetViews>
  <sheetFormatPr defaultColWidth="9.109375" defaultRowHeight="13.8"/>
  <cols>
    <col min="1" max="1" width="19" customWidth="1"/>
    <col min="2" max="2" width="38.109375" customWidth="1"/>
    <col min="3" max="3" width="46.109375" customWidth="1"/>
    <col min="4" max="4" width="25.88671875" customWidth="1"/>
  </cols>
  <sheetData>
    <row r="1" spans="1:3">
      <c r="A1" s="1" t="s">
        <v>21</v>
      </c>
      <c r="B1" s="1" t="s">
        <v>1</v>
      </c>
      <c r="C1" s="1" t="s">
        <v>2</v>
      </c>
    </row>
    <row r="2" spans="1:3" s="6" customFormat="1">
      <c r="A2" s="6" t="s">
        <v>10</v>
      </c>
      <c r="B2" s="6" t="s">
        <v>32</v>
      </c>
      <c r="C2" s="6" t="s">
        <v>32</v>
      </c>
    </row>
    <row r="3" spans="1:3" s="6" customFormat="1">
      <c r="A3" s="6" t="s">
        <v>10</v>
      </c>
      <c r="B3" s="6" t="s">
        <v>33</v>
      </c>
      <c r="C3" s="6" t="s">
        <v>33</v>
      </c>
    </row>
    <row r="4" spans="1:3" s="6" customFormat="1">
      <c r="A4" s="6" t="s">
        <v>10</v>
      </c>
      <c r="B4" s="6" t="s">
        <v>34</v>
      </c>
      <c r="C4" s="6" t="s">
        <v>34</v>
      </c>
    </row>
    <row r="5" spans="1:3" s="6" customFormat="1">
      <c r="A5" s="6" t="s">
        <v>10</v>
      </c>
      <c r="B5" s="6" t="s">
        <v>35</v>
      </c>
      <c r="C5" s="6" t="s">
        <v>35</v>
      </c>
    </row>
    <row r="6" spans="1:3" s="6" customFormat="1">
      <c r="A6" s="6" t="s">
        <v>10</v>
      </c>
      <c r="B6" s="6" t="s">
        <v>36</v>
      </c>
      <c r="C6" s="6" t="s">
        <v>36</v>
      </c>
    </row>
    <row r="7" spans="1:3" s="6" customFormat="1">
      <c r="A7" s="6" t="s">
        <v>10</v>
      </c>
      <c r="B7" s="6" t="s">
        <v>45</v>
      </c>
      <c r="C7" s="6" t="s">
        <v>45</v>
      </c>
    </row>
    <row r="8" spans="1:3" s="6" customFormat="1">
      <c r="A8" s="6" t="s">
        <v>10</v>
      </c>
      <c r="B8" s="6" t="s">
        <v>46</v>
      </c>
      <c r="C8" s="6" t="s">
        <v>46</v>
      </c>
    </row>
    <row r="9" spans="1:3" s="6" customFormat="1">
      <c r="A9" s="6" t="s">
        <v>10</v>
      </c>
      <c r="B9" s="6" t="s">
        <v>47</v>
      </c>
      <c r="C9" s="6" t="s">
        <v>47</v>
      </c>
    </row>
    <row r="10" spans="1:3" s="6" customFormat="1">
      <c r="A10" s="6" t="s">
        <v>10</v>
      </c>
      <c r="B10" s="6" t="s">
        <v>48</v>
      </c>
      <c r="C10" s="6" t="s">
        <v>48</v>
      </c>
    </row>
    <row r="11" spans="1:3" s="6" customFormat="1">
      <c r="A11" s="7" t="s">
        <v>38</v>
      </c>
      <c r="B11" s="7" t="s">
        <v>39</v>
      </c>
      <c r="C11" s="7" t="s">
        <v>39</v>
      </c>
    </row>
    <row r="12" spans="1:3" s="6" customFormat="1">
      <c r="A12" s="7" t="s">
        <v>38</v>
      </c>
      <c r="B12" s="7" t="s">
        <v>40</v>
      </c>
      <c r="C12" s="7" t="s">
        <v>40</v>
      </c>
    </row>
    <row r="13" spans="1:3" s="6" customFormat="1">
      <c r="A13" s="6" t="s">
        <v>28</v>
      </c>
      <c r="B13" s="6" t="s">
        <v>22</v>
      </c>
      <c r="C13" s="6" t="s">
        <v>22</v>
      </c>
    </row>
    <row r="14" spans="1:3" s="6" customFormat="1">
      <c r="A14" s="6" t="s">
        <v>28</v>
      </c>
      <c r="B14" s="6" t="s">
        <v>23</v>
      </c>
      <c r="C14" s="6" t="s">
        <v>23</v>
      </c>
    </row>
    <row r="15" spans="1:3" s="6" customFormat="1">
      <c r="A15" s="6" t="s">
        <v>15</v>
      </c>
      <c r="B15" s="7" t="s">
        <v>43</v>
      </c>
      <c r="C15" s="7" t="s">
        <v>43</v>
      </c>
    </row>
    <row r="16" spans="1:3" s="6" customFormat="1">
      <c r="A16" s="6" t="s">
        <v>15</v>
      </c>
      <c r="B16" s="6" t="s">
        <v>29</v>
      </c>
      <c r="C16" s="6" t="s">
        <v>29</v>
      </c>
    </row>
    <row r="17" spans="1:3" s="6" customFormat="1">
      <c r="A17" s="6" t="s">
        <v>15</v>
      </c>
      <c r="B17" s="6" t="s">
        <v>30</v>
      </c>
      <c r="C17" s="6" t="s">
        <v>30</v>
      </c>
    </row>
    <row r="18" spans="1:3" s="6" customFormat="1">
      <c r="A18" s="6" t="s">
        <v>15</v>
      </c>
      <c r="B18" s="7" t="s">
        <v>42</v>
      </c>
      <c r="C18" s="7" t="s">
        <v>42</v>
      </c>
    </row>
    <row r="19" spans="1:3" s="6" customFormat="1">
      <c r="A19" s="6" t="s">
        <v>15</v>
      </c>
      <c r="B19" s="7" t="s">
        <v>41</v>
      </c>
      <c r="C19" s="7" t="s">
        <v>41</v>
      </c>
    </row>
    <row r="20" spans="1:3" s="6" customFormat="1">
      <c r="A20" s="6" t="s">
        <v>17</v>
      </c>
      <c r="B20" s="7" t="s">
        <v>52</v>
      </c>
      <c r="C20" s="7" t="s">
        <v>52</v>
      </c>
    </row>
    <row r="21" spans="1:3" s="6" customFormat="1">
      <c r="A21" s="6" t="s">
        <v>17</v>
      </c>
      <c r="B21" s="7" t="s">
        <v>65</v>
      </c>
      <c r="C21" s="7" t="s">
        <v>53</v>
      </c>
    </row>
    <row r="22" spans="1:3" s="6" customFormat="1">
      <c r="A22" s="6" t="s">
        <v>17</v>
      </c>
      <c r="B22" s="7" t="s">
        <v>66</v>
      </c>
      <c r="C22" s="7" t="s">
        <v>54</v>
      </c>
    </row>
    <row r="23" spans="1:3" s="6" customFormat="1">
      <c r="A23" s="6" t="s">
        <v>17</v>
      </c>
      <c r="B23" s="7" t="s">
        <v>67</v>
      </c>
      <c r="C23" s="7" t="s">
        <v>55</v>
      </c>
    </row>
    <row r="24" spans="1:3" s="6" customFormat="1">
      <c r="A24" s="6" t="s">
        <v>17</v>
      </c>
      <c r="B24" s="8" t="s">
        <v>64</v>
      </c>
      <c r="C24" s="7" t="s">
        <v>44</v>
      </c>
    </row>
    <row r="25" spans="1:3" s="6" customFormat="1">
      <c r="A25" s="6" t="s">
        <v>19</v>
      </c>
      <c r="B25" s="7" t="s">
        <v>56</v>
      </c>
      <c r="C25" s="7" t="s">
        <v>56</v>
      </c>
    </row>
    <row r="26" spans="1:3" s="6" customFormat="1">
      <c r="A26" s="6" t="s">
        <v>19</v>
      </c>
      <c r="B26" s="7" t="s">
        <v>61</v>
      </c>
      <c r="C26" s="7" t="s">
        <v>61</v>
      </c>
    </row>
    <row r="27" spans="1:3" s="6" customFormat="1">
      <c r="A27" s="6" t="s">
        <v>19</v>
      </c>
      <c r="B27" s="7" t="s">
        <v>62</v>
      </c>
      <c r="C27" s="7" t="s">
        <v>62</v>
      </c>
    </row>
    <row r="28" spans="1:3" s="6" customFormat="1">
      <c r="A28" s="6" t="s">
        <v>19</v>
      </c>
      <c r="B28" s="7" t="s">
        <v>57</v>
      </c>
      <c r="C28" s="7" t="s">
        <v>57</v>
      </c>
    </row>
    <row r="29" spans="1:3" s="6" customFormat="1">
      <c r="A29" s="6" t="s">
        <v>19</v>
      </c>
      <c r="B29" s="8" t="s">
        <v>64</v>
      </c>
      <c r="C29" s="7" t="s">
        <v>44</v>
      </c>
    </row>
    <row r="30" spans="1:3" s="6" customFormat="1">
      <c r="A30" s="7" t="s">
        <v>31</v>
      </c>
      <c r="B30" s="7" t="s">
        <v>58</v>
      </c>
      <c r="C30" s="7" t="s">
        <v>58</v>
      </c>
    </row>
    <row r="31" spans="1:3" s="6" customFormat="1">
      <c r="A31" s="7" t="s">
        <v>31</v>
      </c>
      <c r="B31" s="7" t="s">
        <v>59</v>
      </c>
      <c r="C31" s="7" t="s">
        <v>59</v>
      </c>
    </row>
    <row r="32" spans="1:3" s="6" customFormat="1">
      <c r="A32" s="7" t="s">
        <v>31</v>
      </c>
      <c r="B32" s="7" t="s">
        <v>60</v>
      </c>
      <c r="C32" s="7" t="s">
        <v>60</v>
      </c>
    </row>
    <row r="33" spans="1:4" s="6" customFormat="1">
      <c r="A33" s="7" t="s">
        <v>31</v>
      </c>
      <c r="B33" s="7" t="s">
        <v>64</v>
      </c>
      <c r="C33" s="7" t="s">
        <v>44</v>
      </c>
    </row>
    <row r="34" spans="1:4">
      <c r="A34" s="4" t="s">
        <v>80</v>
      </c>
      <c r="B34" s="13" t="s">
        <v>83</v>
      </c>
      <c r="C34" s="13" t="s">
        <v>83</v>
      </c>
    </row>
    <row r="35" spans="1:4">
      <c r="A35" s="4" t="s">
        <v>80</v>
      </c>
      <c r="B35" s="13" t="s">
        <v>84</v>
      </c>
      <c r="C35" s="13" t="s">
        <v>84</v>
      </c>
    </row>
    <row r="36" spans="1:4">
      <c r="A36" s="4" t="s">
        <v>80</v>
      </c>
      <c r="B36" s="13" t="s">
        <v>85</v>
      </c>
      <c r="C36" s="13" t="s">
        <v>85</v>
      </c>
    </row>
    <row r="37" spans="1:4">
      <c r="A37" s="4" t="s">
        <v>80</v>
      </c>
      <c r="B37" s="13" t="s">
        <v>86</v>
      </c>
      <c r="C37" s="13" t="s">
        <v>86</v>
      </c>
    </row>
    <row r="38" spans="1:4">
      <c r="A38" s="4" t="s">
        <v>80</v>
      </c>
      <c r="B38" s="13" t="s">
        <v>79</v>
      </c>
      <c r="C38" s="13" t="s">
        <v>79</v>
      </c>
    </row>
    <row r="39" spans="1:4">
      <c r="A39" s="4"/>
      <c r="B39" s="13"/>
      <c r="C39" s="13"/>
    </row>
    <row r="40" spans="1:4">
      <c r="A40" s="11" t="s">
        <v>81</v>
      </c>
      <c r="B40" s="13" t="s">
        <v>87</v>
      </c>
      <c r="C40" s="13" t="s">
        <v>87</v>
      </c>
    </row>
    <row r="41" spans="1:4">
      <c r="A41" s="11" t="s">
        <v>81</v>
      </c>
      <c r="B41" s="13" t="s">
        <v>88</v>
      </c>
      <c r="C41" s="13" t="s">
        <v>88</v>
      </c>
    </row>
    <row r="42" spans="1:4">
      <c r="A42" s="11" t="s">
        <v>81</v>
      </c>
      <c r="B42" s="13" t="s">
        <v>89</v>
      </c>
      <c r="C42" s="13" t="s">
        <v>89</v>
      </c>
    </row>
    <row r="43" spans="1:4">
      <c r="A43" s="11" t="s">
        <v>81</v>
      </c>
      <c r="B43" s="13" t="s">
        <v>90</v>
      </c>
      <c r="C43" s="13" t="s">
        <v>90</v>
      </c>
    </row>
    <row r="44" spans="1:4">
      <c r="A44" s="11" t="s">
        <v>81</v>
      </c>
      <c r="B44" s="13" t="s">
        <v>91</v>
      </c>
      <c r="C44" s="13" t="s">
        <v>91</v>
      </c>
    </row>
    <row r="45" spans="1:4">
      <c r="A45" s="11" t="s">
        <v>81</v>
      </c>
      <c r="B45" s="13" t="s">
        <v>92</v>
      </c>
      <c r="C45" s="13" t="s">
        <v>92</v>
      </c>
    </row>
    <row r="46" spans="1:4" ht="27.6">
      <c r="A46" s="4" t="s">
        <v>99</v>
      </c>
      <c r="B46" s="12" t="s">
        <v>109</v>
      </c>
      <c r="C46" s="12" t="s">
        <v>109</v>
      </c>
    </row>
    <row r="47" spans="1:4" ht="15">
      <c r="A47" s="4" t="s">
        <v>99</v>
      </c>
      <c r="B47" s="12" t="s">
        <v>110</v>
      </c>
      <c r="C47" s="12" t="s">
        <v>110</v>
      </c>
      <c r="D47" s="20"/>
    </row>
    <row r="48" spans="1:4" ht="15">
      <c r="A48" s="4" t="s">
        <v>99</v>
      </c>
      <c r="B48" s="12" t="s">
        <v>111</v>
      </c>
      <c r="C48" s="12" t="s">
        <v>111</v>
      </c>
      <c r="D48" s="20"/>
    </row>
    <row r="49" spans="1:4" ht="15">
      <c r="A49" s="4" t="s">
        <v>99</v>
      </c>
      <c r="B49" s="12" t="s">
        <v>112</v>
      </c>
      <c r="C49" s="12" t="s">
        <v>112</v>
      </c>
      <c r="D49" s="20"/>
    </row>
    <row r="50" spans="1:4" ht="15">
      <c r="A50" s="4" t="s">
        <v>99</v>
      </c>
      <c r="B50" s="12" t="s">
        <v>73</v>
      </c>
      <c r="C50" s="12" t="s">
        <v>73</v>
      </c>
      <c r="D50" s="20"/>
    </row>
    <row r="51" spans="1:4" ht="15">
      <c r="A51" s="4" t="s">
        <v>99</v>
      </c>
      <c r="B51" s="12" t="s">
        <v>113</v>
      </c>
      <c r="C51" s="12" t="s">
        <v>113</v>
      </c>
      <c r="D51" s="20"/>
    </row>
    <row r="52" spans="1:4" ht="15">
      <c r="A52" s="4" t="s">
        <v>99</v>
      </c>
      <c r="B52" s="12" t="s">
        <v>114</v>
      </c>
      <c r="C52" s="12" t="s">
        <v>114</v>
      </c>
      <c r="D52" s="20"/>
    </row>
    <row r="53" spans="1:4" ht="15">
      <c r="A53" s="4" t="s">
        <v>99</v>
      </c>
      <c r="B53" s="12" t="s">
        <v>74</v>
      </c>
      <c r="C53" s="12" t="s">
        <v>74</v>
      </c>
      <c r="D53" s="20"/>
    </row>
    <row r="54" spans="1:4" ht="15">
      <c r="A54" s="4" t="s">
        <v>99</v>
      </c>
      <c r="B54" s="12" t="s">
        <v>76</v>
      </c>
      <c r="C54" s="12" t="s">
        <v>76</v>
      </c>
      <c r="D54" s="20"/>
    </row>
    <row r="55" spans="1:4" ht="15">
      <c r="A55" s="4" t="s">
        <v>99</v>
      </c>
      <c r="B55" s="12" t="s">
        <v>115</v>
      </c>
      <c r="C55" s="12" t="s">
        <v>115</v>
      </c>
      <c r="D55" s="20"/>
    </row>
    <row r="56" spans="1:4" ht="15">
      <c r="A56" s="4" t="s">
        <v>99</v>
      </c>
      <c r="B56" s="12" t="s">
        <v>116</v>
      </c>
      <c r="C56" s="12" t="s">
        <v>116</v>
      </c>
      <c r="D56" s="20"/>
    </row>
    <row r="57" spans="1:4" ht="15">
      <c r="A57" s="4" t="s">
        <v>99</v>
      </c>
      <c r="B57" s="12" t="s">
        <v>117</v>
      </c>
      <c r="C57" s="12" t="s">
        <v>117</v>
      </c>
      <c r="D57" s="20"/>
    </row>
    <row r="58" spans="1:4" ht="15">
      <c r="A58" s="4" t="s">
        <v>99</v>
      </c>
      <c r="B58" s="12" t="s">
        <v>75</v>
      </c>
      <c r="C58" s="12" t="s">
        <v>75</v>
      </c>
      <c r="D58" s="20"/>
    </row>
    <row r="59" spans="1:4" ht="15">
      <c r="A59" s="4" t="s">
        <v>99</v>
      </c>
      <c r="B59" s="12" t="s">
        <v>118</v>
      </c>
      <c r="C59" s="12" t="s">
        <v>118</v>
      </c>
      <c r="D59" s="20"/>
    </row>
    <row r="60" spans="1:4" ht="15">
      <c r="A60" s="4" t="s">
        <v>99</v>
      </c>
      <c r="B60" s="12" t="s">
        <v>120</v>
      </c>
      <c r="C60" s="12" t="s">
        <v>120</v>
      </c>
      <c r="D60" s="20"/>
    </row>
    <row r="61" spans="1:4" ht="15">
      <c r="A61" s="4" t="s">
        <v>99</v>
      </c>
      <c r="B61" s="19" t="s">
        <v>121</v>
      </c>
      <c r="C61" s="19" t="s">
        <v>121</v>
      </c>
      <c r="D61" s="20"/>
    </row>
    <row r="62" spans="1:4" ht="15">
      <c r="A62" s="4" t="s">
        <v>99</v>
      </c>
      <c r="B62" s="19" t="s">
        <v>119</v>
      </c>
      <c r="C62" s="19" t="s">
        <v>119</v>
      </c>
      <c r="D62" s="20"/>
    </row>
    <row r="63" spans="1:4" ht="19.5" customHeight="1">
      <c r="A63" s="4" t="s">
        <v>99</v>
      </c>
      <c r="B63" s="12" t="s">
        <v>77</v>
      </c>
      <c r="C63" s="12" t="s">
        <v>77</v>
      </c>
      <c r="D63" s="20"/>
    </row>
    <row r="64" spans="1:4" ht="15">
      <c r="A64" s="4" t="s">
        <v>124</v>
      </c>
      <c r="B64" s="13" t="s">
        <v>69</v>
      </c>
      <c r="C64" s="13" t="s">
        <v>69</v>
      </c>
      <c r="D64" s="20"/>
    </row>
    <row r="65" spans="1:4" ht="15">
      <c r="A65" s="4" t="s">
        <v>124</v>
      </c>
      <c r="B65" s="13" t="s">
        <v>70</v>
      </c>
      <c r="C65" s="13" t="s">
        <v>70</v>
      </c>
      <c r="D65" s="20"/>
    </row>
    <row r="66" spans="1:4" ht="15">
      <c r="A66" s="4" t="s">
        <v>124</v>
      </c>
      <c r="B66" s="13" t="s">
        <v>79</v>
      </c>
      <c r="C66" s="13" t="s">
        <v>79</v>
      </c>
      <c r="D66" s="20"/>
    </row>
    <row r="67" spans="1:4">
      <c r="A67" s="4" t="s">
        <v>122</v>
      </c>
      <c r="B67" s="14" t="s">
        <v>94</v>
      </c>
      <c r="C67" s="14" t="s">
        <v>94</v>
      </c>
    </row>
    <row r="68" spans="1:4">
      <c r="A68" s="4" t="s">
        <v>122</v>
      </c>
      <c r="B68" s="14" t="s">
        <v>78</v>
      </c>
      <c r="C68" s="14" t="s">
        <v>78</v>
      </c>
    </row>
    <row r="69" spans="1:4">
      <c r="A69" s="4" t="s">
        <v>122</v>
      </c>
      <c r="B69" s="14" t="s">
        <v>49</v>
      </c>
      <c r="C69" s="14" t="s">
        <v>49</v>
      </c>
    </row>
    <row r="70" spans="1:4">
      <c r="A70" s="4" t="s">
        <v>122</v>
      </c>
      <c r="B70" s="14" t="s">
        <v>50</v>
      </c>
      <c r="C70" s="14" t="s">
        <v>50</v>
      </c>
    </row>
    <row r="71" spans="1:4">
      <c r="A71" s="4" t="s">
        <v>122</v>
      </c>
      <c r="B71" s="14" t="s">
        <v>51</v>
      </c>
      <c r="C71" s="14" t="s">
        <v>51</v>
      </c>
    </row>
    <row r="72" spans="1:4">
      <c r="A72" s="4" t="s">
        <v>122</v>
      </c>
      <c r="B72" s="13" t="s">
        <v>93</v>
      </c>
      <c r="C72" s="13" t="s">
        <v>93</v>
      </c>
    </row>
    <row r="73" spans="1:4">
      <c r="A73" s="4" t="s">
        <v>72</v>
      </c>
      <c r="B73" s="13" t="s">
        <v>69</v>
      </c>
      <c r="C73" s="13" t="s">
        <v>69</v>
      </c>
    </row>
    <row r="74" spans="1:4">
      <c r="A74" s="4" t="s">
        <v>72</v>
      </c>
      <c r="B74" s="13" t="s">
        <v>70</v>
      </c>
      <c r="C74" s="13" t="s">
        <v>70</v>
      </c>
    </row>
    <row r="75" spans="1:4">
      <c r="A75" s="4" t="s">
        <v>72</v>
      </c>
      <c r="B75" s="13" t="s">
        <v>79</v>
      </c>
      <c r="C75" s="13" t="s">
        <v>79</v>
      </c>
    </row>
    <row r="76" spans="1:4">
      <c r="A76" s="4" t="s">
        <v>123</v>
      </c>
      <c r="B76" s="13" t="s">
        <v>69</v>
      </c>
      <c r="C76" s="13" t="s">
        <v>69</v>
      </c>
    </row>
    <row r="77" spans="1:4">
      <c r="A77" s="4" t="s">
        <v>123</v>
      </c>
      <c r="B77" s="13" t="s">
        <v>70</v>
      </c>
      <c r="C77" s="13" t="s">
        <v>70</v>
      </c>
    </row>
    <row r="78" spans="1:4">
      <c r="A78" s="4" t="s">
        <v>123</v>
      </c>
      <c r="B78" s="13" t="s">
        <v>79</v>
      </c>
      <c r="C78" s="13" t="s">
        <v>79</v>
      </c>
    </row>
    <row r="79" spans="1:4">
      <c r="A79" s="4" t="s">
        <v>177</v>
      </c>
      <c r="B79" s="15" t="s">
        <v>171</v>
      </c>
      <c r="C79" s="15" t="s">
        <v>171</v>
      </c>
    </row>
    <row r="80" spans="1:4">
      <c r="A80" s="4" t="s">
        <v>177</v>
      </c>
      <c r="B80" s="15" t="s">
        <v>195</v>
      </c>
      <c r="C80" s="15" t="s">
        <v>195</v>
      </c>
    </row>
    <row r="81" spans="1:3">
      <c r="A81" s="4" t="s">
        <v>177</v>
      </c>
      <c r="B81" s="15" t="s">
        <v>196</v>
      </c>
      <c r="C81" s="15" t="s">
        <v>196</v>
      </c>
    </row>
    <row r="82" spans="1:3">
      <c r="A82" s="4" t="s">
        <v>177</v>
      </c>
      <c r="B82" s="15" t="s">
        <v>197</v>
      </c>
      <c r="C82" s="15" t="s">
        <v>197</v>
      </c>
    </row>
    <row r="83" spans="1:3">
      <c r="A83" s="4" t="s">
        <v>177</v>
      </c>
      <c r="B83" s="15" t="s">
        <v>163</v>
      </c>
      <c r="C83" s="15" t="s">
        <v>163</v>
      </c>
    </row>
    <row r="84" spans="1:3">
      <c r="A84" s="4" t="s">
        <v>177</v>
      </c>
      <c r="B84" s="15" t="s">
        <v>68</v>
      </c>
      <c r="C84" s="15" t="s">
        <v>68</v>
      </c>
    </row>
    <row r="85" spans="1:3">
      <c r="A85" s="4" t="s">
        <v>177</v>
      </c>
      <c r="B85" s="15" t="s">
        <v>93</v>
      </c>
      <c r="C85" s="15" t="s">
        <v>93</v>
      </c>
    </row>
    <row r="86" spans="1:3">
      <c r="A86" s="4" t="s">
        <v>103</v>
      </c>
      <c r="B86" s="15" t="s">
        <v>160</v>
      </c>
      <c r="C86" s="15" t="s">
        <v>160</v>
      </c>
    </row>
    <row r="87" spans="1:3">
      <c r="A87" s="4" t="s">
        <v>103</v>
      </c>
      <c r="B87" s="15" t="s">
        <v>161</v>
      </c>
      <c r="C87" s="15" t="s">
        <v>161</v>
      </c>
    </row>
    <row r="88" spans="1:3">
      <c r="A88" s="4" t="s">
        <v>103</v>
      </c>
      <c r="B88" s="15" t="s">
        <v>162</v>
      </c>
      <c r="C88" s="15" t="s">
        <v>162</v>
      </c>
    </row>
    <row r="89" spans="1:3">
      <c r="A89" s="4" t="s">
        <v>103</v>
      </c>
      <c r="B89" s="23" t="s">
        <v>79</v>
      </c>
      <c r="C89" s="23" t="s">
        <v>79</v>
      </c>
    </row>
    <row r="90" spans="1:3">
      <c r="A90" s="4" t="s">
        <v>188</v>
      </c>
      <c r="B90" s="18" t="s">
        <v>254</v>
      </c>
      <c r="C90" s="18" t="s">
        <v>254</v>
      </c>
    </row>
    <row r="91" spans="1:3">
      <c r="A91" s="4" t="s">
        <v>188</v>
      </c>
      <c r="B91" s="18" t="s">
        <v>255</v>
      </c>
      <c r="C91" s="18" t="s">
        <v>255</v>
      </c>
    </row>
    <row r="92" spans="1:3">
      <c r="A92" s="4" t="s">
        <v>188</v>
      </c>
      <c r="B92" s="18" t="s">
        <v>256</v>
      </c>
      <c r="C92" s="18" t="s">
        <v>256</v>
      </c>
    </row>
    <row r="93" spans="1:3">
      <c r="A93" s="4" t="s">
        <v>188</v>
      </c>
      <c r="B93" s="18" t="s">
        <v>257</v>
      </c>
      <c r="C93" s="18" t="s">
        <v>257</v>
      </c>
    </row>
    <row r="94" spans="1:3">
      <c r="A94" s="4" t="s">
        <v>188</v>
      </c>
      <c r="B94" s="18" t="s">
        <v>258</v>
      </c>
      <c r="C94" s="18" t="s">
        <v>258</v>
      </c>
    </row>
    <row r="95" spans="1:3">
      <c r="A95" s="4" t="s">
        <v>188</v>
      </c>
      <c r="B95" s="18" t="s">
        <v>259</v>
      </c>
      <c r="C95" s="18" t="s">
        <v>259</v>
      </c>
    </row>
    <row r="96" spans="1:3">
      <c r="A96" s="4" t="s">
        <v>188</v>
      </c>
      <c r="B96" s="18" t="s">
        <v>260</v>
      </c>
      <c r="C96" s="18" t="s">
        <v>260</v>
      </c>
    </row>
    <row r="97" spans="1:3">
      <c r="A97" s="4" t="s">
        <v>188</v>
      </c>
      <c r="B97" s="18" t="s">
        <v>280</v>
      </c>
      <c r="C97" s="18" t="s">
        <v>280</v>
      </c>
    </row>
    <row r="98" spans="1:3">
      <c r="A98" s="4" t="s">
        <v>188</v>
      </c>
      <c r="B98" s="18" t="s">
        <v>279</v>
      </c>
      <c r="C98" s="18" t="s">
        <v>279</v>
      </c>
    </row>
    <row r="99" spans="1:3">
      <c r="A99" s="4" t="s">
        <v>188</v>
      </c>
      <c r="B99" s="18" t="s">
        <v>261</v>
      </c>
      <c r="C99" s="18" t="s">
        <v>261</v>
      </c>
    </row>
    <row r="100" spans="1:3">
      <c r="A100" s="4" t="s">
        <v>188</v>
      </c>
      <c r="B100" s="18" t="s">
        <v>164</v>
      </c>
      <c r="C100" s="18" t="s">
        <v>164</v>
      </c>
    </row>
    <row r="101" spans="1:3">
      <c r="A101" s="4" t="s">
        <v>188</v>
      </c>
      <c r="B101" s="18" t="s">
        <v>68</v>
      </c>
      <c r="C101" s="18" t="s">
        <v>68</v>
      </c>
    </row>
    <row r="102" spans="1:3">
      <c r="A102" s="4" t="s">
        <v>188</v>
      </c>
      <c r="B102" s="18" t="s">
        <v>93</v>
      </c>
      <c r="C102" s="18" t="s">
        <v>93</v>
      </c>
    </row>
    <row r="103" spans="1:3" ht="26.4">
      <c r="A103" s="4" t="s">
        <v>191</v>
      </c>
      <c r="B103" s="18" t="s">
        <v>198</v>
      </c>
      <c r="C103" s="18" t="s">
        <v>198</v>
      </c>
    </row>
    <row r="104" spans="1:3">
      <c r="A104" s="4" t="s">
        <v>191</v>
      </c>
      <c r="B104" s="18" t="s">
        <v>165</v>
      </c>
      <c r="C104" s="18" t="s">
        <v>165</v>
      </c>
    </row>
    <row r="105" spans="1:3">
      <c r="A105" s="4" t="s">
        <v>191</v>
      </c>
      <c r="B105" s="18" t="s">
        <v>166</v>
      </c>
      <c r="C105" s="18" t="s">
        <v>166</v>
      </c>
    </row>
    <row r="106" spans="1:3">
      <c r="A106" s="4" t="s">
        <v>191</v>
      </c>
      <c r="B106" s="18" t="s">
        <v>167</v>
      </c>
      <c r="C106" s="18" t="s">
        <v>167</v>
      </c>
    </row>
    <row r="107" spans="1:3">
      <c r="A107" s="4" t="s">
        <v>191</v>
      </c>
      <c r="B107" s="18" t="s">
        <v>168</v>
      </c>
      <c r="C107" s="18" t="s">
        <v>168</v>
      </c>
    </row>
    <row r="108" spans="1:3">
      <c r="A108" s="4" t="s">
        <v>191</v>
      </c>
      <c r="B108" s="18" t="s">
        <v>169</v>
      </c>
      <c r="C108" s="18" t="s">
        <v>169</v>
      </c>
    </row>
    <row r="109" spans="1:3">
      <c r="A109" s="4" t="s">
        <v>191</v>
      </c>
      <c r="B109" s="18" t="s">
        <v>170</v>
      </c>
      <c r="C109" s="18" t="s">
        <v>170</v>
      </c>
    </row>
    <row r="110" spans="1:3">
      <c r="A110" s="4" t="s">
        <v>191</v>
      </c>
      <c r="B110" s="18" t="s">
        <v>262</v>
      </c>
      <c r="C110" s="18" t="s">
        <v>262</v>
      </c>
    </row>
    <row r="111" spans="1:3">
      <c r="A111" s="4" t="s">
        <v>191</v>
      </c>
      <c r="B111" s="18" t="s">
        <v>263</v>
      </c>
      <c r="C111" s="18" t="s">
        <v>263</v>
      </c>
    </row>
    <row r="112" spans="1:3">
      <c r="A112" s="4" t="s">
        <v>191</v>
      </c>
      <c r="B112" s="18" t="s">
        <v>264</v>
      </c>
      <c r="C112" s="18" t="s">
        <v>264</v>
      </c>
    </row>
    <row r="113" spans="1:3">
      <c r="A113" s="4" t="s">
        <v>191</v>
      </c>
      <c r="B113" s="18" t="s">
        <v>265</v>
      </c>
      <c r="C113" s="18" t="s">
        <v>265</v>
      </c>
    </row>
    <row r="114" spans="1:3">
      <c r="A114" s="4" t="s">
        <v>191</v>
      </c>
      <c r="B114" s="18" t="s">
        <v>266</v>
      </c>
      <c r="C114" s="18" t="s">
        <v>266</v>
      </c>
    </row>
    <row r="115" spans="1:3">
      <c r="A115" s="4" t="s">
        <v>191</v>
      </c>
      <c r="B115" s="18" t="s">
        <v>267</v>
      </c>
      <c r="C115" s="18" t="s">
        <v>267</v>
      </c>
    </row>
    <row r="116" spans="1:3">
      <c r="A116" s="4" t="s">
        <v>191</v>
      </c>
      <c r="B116" s="18" t="s">
        <v>68</v>
      </c>
      <c r="C116" s="18" t="s">
        <v>68</v>
      </c>
    </row>
    <row r="117" spans="1:3">
      <c r="A117" s="4" t="s">
        <v>191</v>
      </c>
      <c r="B117" s="18" t="s">
        <v>93</v>
      </c>
      <c r="C117" s="18" t="s">
        <v>93</v>
      </c>
    </row>
    <row r="118" spans="1:3">
      <c r="A118" s="4" t="s">
        <v>82</v>
      </c>
      <c r="B118" s="18" t="s">
        <v>95</v>
      </c>
      <c r="C118" s="18" t="s">
        <v>95</v>
      </c>
    </row>
    <row r="119" spans="1:3">
      <c r="A119" s="4" t="s">
        <v>82</v>
      </c>
      <c r="B119" s="18" t="s">
        <v>96</v>
      </c>
      <c r="C119" s="18" t="s">
        <v>96</v>
      </c>
    </row>
    <row r="120" spans="1:3">
      <c r="A120" s="4" t="s">
        <v>82</v>
      </c>
      <c r="B120" s="18" t="s">
        <v>97</v>
      </c>
      <c r="C120" s="18" t="s">
        <v>97</v>
      </c>
    </row>
    <row r="121" spans="1:3">
      <c r="A121" s="4" t="s">
        <v>82</v>
      </c>
      <c r="B121" s="18" t="s">
        <v>68</v>
      </c>
      <c r="C121" s="18" t="s">
        <v>68</v>
      </c>
    </row>
    <row r="122" spans="1:3">
      <c r="A122" s="4" t="s">
        <v>82</v>
      </c>
      <c r="B122" s="18" t="s">
        <v>93</v>
      </c>
      <c r="C122" s="18" t="s">
        <v>93</v>
      </c>
    </row>
    <row r="123" spans="1:3">
      <c r="A123" s="4" t="s">
        <v>194</v>
      </c>
      <c r="B123" s="18" t="s">
        <v>201</v>
      </c>
      <c r="C123" s="18" t="s">
        <v>104</v>
      </c>
    </row>
    <row r="124" spans="1:3">
      <c r="A124" s="4" t="s">
        <v>194</v>
      </c>
      <c r="B124" s="18" t="s">
        <v>202</v>
      </c>
      <c r="C124" s="18" t="s">
        <v>98</v>
      </c>
    </row>
    <row r="125" spans="1:3">
      <c r="A125" s="4" t="s">
        <v>194</v>
      </c>
      <c r="B125" s="18" t="s">
        <v>273</v>
      </c>
      <c r="C125" s="18" t="s">
        <v>268</v>
      </c>
    </row>
    <row r="126" spans="1:3">
      <c r="A126" s="4" t="s">
        <v>194</v>
      </c>
      <c r="B126" s="18" t="s">
        <v>203</v>
      </c>
      <c r="C126" s="18" t="s">
        <v>105</v>
      </c>
    </row>
    <row r="127" spans="1:3">
      <c r="A127" s="4" t="s">
        <v>194</v>
      </c>
      <c r="B127" s="18" t="s">
        <v>274</v>
      </c>
      <c r="C127" s="18" t="s">
        <v>269</v>
      </c>
    </row>
    <row r="128" spans="1:3">
      <c r="A128" s="4" t="s">
        <v>194</v>
      </c>
      <c r="B128" s="18" t="s">
        <v>275</v>
      </c>
      <c r="C128" s="18" t="s">
        <v>270</v>
      </c>
    </row>
    <row r="129" spans="1:3">
      <c r="A129" s="4" t="s">
        <v>194</v>
      </c>
      <c r="B129" s="18" t="s">
        <v>276</v>
      </c>
      <c r="C129" s="18" t="s">
        <v>271</v>
      </c>
    </row>
    <row r="130" spans="1:3">
      <c r="A130" s="4" t="s">
        <v>194</v>
      </c>
      <c r="B130" s="18" t="s">
        <v>204</v>
      </c>
      <c r="C130" s="18" t="s">
        <v>106</v>
      </c>
    </row>
    <row r="131" spans="1:3">
      <c r="A131" s="4" t="s">
        <v>194</v>
      </c>
      <c r="B131" s="18" t="s">
        <v>205</v>
      </c>
      <c r="C131" s="18" t="s">
        <v>107</v>
      </c>
    </row>
    <row r="132" spans="1:3">
      <c r="A132" s="4" t="s">
        <v>194</v>
      </c>
      <c r="B132" s="18" t="s">
        <v>68</v>
      </c>
      <c r="C132" s="18" t="s">
        <v>68</v>
      </c>
    </row>
    <row r="133" spans="1:3">
      <c r="A133" s="4" t="s">
        <v>194</v>
      </c>
      <c r="B133" s="31" t="s">
        <v>206</v>
      </c>
      <c r="C133" s="31" t="s">
        <v>93</v>
      </c>
    </row>
    <row r="134" spans="1:3">
      <c r="A134" s="4"/>
      <c r="B134" s="18"/>
      <c r="C134" s="18"/>
    </row>
    <row r="135" spans="1:3">
      <c r="A135" s="4"/>
      <c r="B135" s="18"/>
      <c r="C135" s="18"/>
    </row>
    <row r="136" spans="1:3">
      <c r="A136" s="4"/>
      <c r="B136" s="18"/>
      <c r="C136" s="18"/>
    </row>
    <row r="137" spans="1:3">
      <c r="A137" s="4"/>
      <c r="B137" s="18"/>
      <c r="C137" s="18"/>
    </row>
    <row r="138" spans="1:3">
      <c r="A138" s="4"/>
      <c r="B138" s="18"/>
      <c r="C138" s="18"/>
    </row>
    <row r="139" spans="1:3">
      <c r="A139" s="4"/>
      <c r="B139" s="18"/>
      <c r="C139" s="18"/>
    </row>
    <row r="140" spans="1:3">
      <c r="A140" s="4" t="s">
        <v>100</v>
      </c>
      <c r="B140" s="18" t="s">
        <v>101</v>
      </c>
      <c r="C140" s="18" t="s">
        <v>101</v>
      </c>
    </row>
    <row r="141" spans="1:3">
      <c r="A141" s="4" t="s">
        <v>100</v>
      </c>
      <c r="B141" s="18" t="s">
        <v>199</v>
      </c>
      <c r="C141" s="18" t="s">
        <v>199</v>
      </c>
    </row>
    <row r="142" spans="1:3">
      <c r="A142" s="4" t="s">
        <v>100</v>
      </c>
      <c r="B142" s="18" t="s">
        <v>102</v>
      </c>
      <c r="C142" s="18" t="s">
        <v>102</v>
      </c>
    </row>
    <row r="143" spans="1:3">
      <c r="A143" s="4" t="s">
        <v>100</v>
      </c>
      <c r="B143" s="18" t="s">
        <v>108</v>
      </c>
      <c r="C143" s="18" t="s">
        <v>108</v>
      </c>
    </row>
    <row r="144" spans="1:3">
      <c r="A144" s="4" t="s">
        <v>100</v>
      </c>
      <c r="B144" s="18" t="s">
        <v>200</v>
      </c>
      <c r="C144" s="18" t="s">
        <v>200</v>
      </c>
    </row>
    <row r="145" spans="1:3">
      <c r="A145" s="4" t="s">
        <v>100</v>
      </c>
      <c r="B145" s="18" t="s">
        <v>272</v>
      </c>
      <c r="C145" s="18" t="s">
        <v>272</v>
      </c>
    </row>
    <row r="146" spans="1:3">
      <c r="A146" s="4" t="s">
        <v>100</v>
      </c>
      <c r="B146" s="18" t="s">
        <v>68</v>
      </c>
      <c r="C146" s="18" t="s">
        <v>68</v>
      </c>
    </row>
    <row r="147" spans="1:3">
      <c r="A147" s="4" t="s">
        <v>100</v>
      </c>
      <c r="B147" s="18" t="s">
        <v>93</v>
      </c>
      <c r="C147" s="18" t="s">
        <v>93</v>
      </c>
    </row>
    <row r="148" spans="1:3">
      <c r="A148" s="4"/>
      <c r="B148" s="18"/>
      <c r="C148" s="18"/>
    </row>
    <row r="149" spans="1:3">
      <c r="A149" s="4"/>
      <c r="B149" s="18"/>
      <c r="C149" s="18"/>
    </row>
    <row r="150" spans="1:3">
      <c r="A150" s="4"/>
      <c r="B150" s="18"/>
      <c r="C150" s="18"/>
    </row>
    <row r="151" spans="1:3">
      <c r="A151" s="4"/>
      <c r="B151" s="18"/>
      <c r="C151" s="18"/>
    </row>
    <row r="152" spans="1:3">
      <c r="A152" s="24" t="s">
        <v>212</v>
      </c>
      <c r="B152" s="15" t="s">
        <v>128</v>
      </c>
      <c r="C152" s="15" t="s">
        <v>128</v>
      </c>
    </row>
    <row r="153" spans="1:3">
      <c r="A153" s="24" t="s">
        <v>212</v>
      </c>
      <c r="B153" s="15" t="s">
        <v>129</v>
      </c>
      <c r="C153" s="15" t="s">
        <v>129</v>
      </c>
    </row>
    <row r="154" spans="1:3">
      <c r="A154" s="24" t="s">
        <v>212</v>
      </c>
      <c r="B154" s="15" t="s">
        <v>130</v>
      </c>
      <c r="C154" s="15" t="s">
        <v>130</v>
      </c>
    </row>
    <row r="155" spans="1:3">
      <c r="A155" s="24" t="s">
        <v>212</v>
      </c>
      <c r="B155" s="15" t="s">
        <v>131</v>
      </c>
      <c r="C155" s="15" t="s">
        <v>131</v>
      </c>
    </row>
    <row r="156" spans="1:3">
      <c r="A156" s="24" t="s">
        <v>212</v>
      </c>
      <c r="B156" s="15" t="s">
        <v>132</v>
      </c>
      <c r="C156" s="15" t="s">
        <v>132</v>
      </c>
    </row>
    <row r="157" spans="1:3">
      <c r="A157" s="24" t="s">
        <v>212</v>
      </c>
      <c r="B157" s="15" t="s">
        <v>133</v>
      </c>
      <c r="C157" s="15" t="s">
        <v>133</v>
      </c>
    </row>
    <row r="158" spans="1:3">
      <c r="A158" s="24" t="s">
        <v>212</v>
      </c>
      <c r="B158" s="15" t="s">
        <v>134</v>
      </c>
      <c r="C158" s="15" t="s">
        <v>134</v>
      </c>
    </row>
    <row r="159" spans="1:3">
      <c r="A159" s="24" t="s">
        <v>212</v>
      </c>
      <c r="B159" s="15" t="s">
        <v>135</v>
      </c>
      <c r="C159" s="15" t="s">
        <v>135</v>
      </c>
    </row>
    <row r="160" spans="1:3">
      <c r="A160" s="24" t="s">
        <v>212</v>
      </c>
      <c r="B160" s="15" t="s">
        <v>136</v>
      </c>
      <c r="C160" s="15" t="s">
        <v>136</v>
      </c>
    </row>
    <row r="161" spans="1:3">
      <c r="A161" s="24" t="s">
        <v>212</v>
      </c>
      <c r="B161" s="15" t="s">
        <v>137</v>
      </c>
      <c r="C161" s="15" t="s">
        <v>137</v>
      </c>
    </row>
    <row r="162" spans="1:3">
      <c r="A162" s="24" t="s">
        <v>212</v>
      </c>
      <c r="B162" s="15" t="s">
        <v>138</v>
      </c>
      <c r="C162" s="15" t="s">
        <v>138</v>
      </c>
    </row>
    <row r="163" spans="1:3">
      <c r="A163" s="24" t="s">
        <v>212</v>
      </c>
      <c r="B163" s="15" t="s">
        <v>139</v>
      </c>
      <c r="C163" s="15" t="s">
        <v>139</v>
      </c>
    </row>
    <row r="164" spans="1:3">
      <c r="A164" s="24" t="s">
        <v>212</v>
      </c>
      <c r="B164" s="15" t="s">
        <v>140</v>
      </c>
      <c r="C164" s="15" t="s">
        <v>140</v>
      </c>
    </row>
    <row r="165" spans="1:3">
      <c r="A165" s="24" t="s">
        <v>212</v>
      </c>
      <c r="B165" s="15" t="s">
        <v>141</v>
      </c>
      <c r="C165" s="15" t="s">
        <v>141</v>
      </c>
    </row>
    <row r="166" spans="1:3">
      <c r="A166" s="24" t="s">
        <v>212</v>
      </c>
      <c r="B166" s="15" t="s">
        <v>142</v>
      </c>
      <c r="C166" s="15" t="s">
        <v>142</v>
      </c>
    </row>
    <row r="167" spans="1:3">
      <c r="A167" s="24" t="s">
        <v>212</v>
      </c>
      <c r="B167" s="15" t="s">
        <v>143</v>
      </c>
      <c r="C167" s="15" t="s">
        <v>143</v>
      </c>
    </row>
    <row r="168" spans="1:3">
      <c r="A168" s="24" t="s">
        <v>212</v>
      </c>
      <c r="B168" s="15" t="s">
        <v>144</v>
      </c>
      <c r="C168" s="15" t="s">
        <v>144</v>
      </c>
    </row>
    <row r="169" spans="1:3">
      <c r="A169" s="24" t="s">
        <v>212</v>
      </c>
      <c r="B169" s="15" t="s">
        <v>145</v>
      </c>
      <c r="C169" s="15" t="s">
        <v>145</v>
      </c>
    </row>
    <row r="170" spans="1:3">
      <c r="A170" s="24" t="s">
        <v>212</v>
      </c>
      <c r="B170" s="15" t="s">
        <v>146</v>
      </c>
      <c r="C170" s="15" t="s">
        <v>146</v>
      </c>
    </row>
    <row r="171" spans="1:3">
      <c r="A171" s="24" t="s">
        <v>212</v>
      </c>
      <c r="B171" s="15" t="s">
        <v>147</v>
      </c>
      <c r="C171" s="15" t="s">
        <v>147</v>
      </c>
    </row>
    <row r="172" spans="1:3">
      <c r="A172" s="24" t="s">
        <v>212</v>
      </c>
      <c r="B172" s="15" t="s">
        <v>148</v>
      </c>
      <c r="C172" s="15" t="s">
        <v>148</v>
      </c>
    </row>
    <row r="173" spans="1:3">
      <c r="A173" s="24" t="s">
        <v>212</v>
      </c>
      <c r="B173" s="15" t="s">
        <v>149</v>
      </c>
      <c r="C173" s="15" t="s">
        <v>149</v>
      </c>
    </row>
    <row r="174" spans="1:3">
      <c r="A174" s="24" t="s">
        <v>212</v>
      </c>
      <c r="B174" s="15" t="s">
        <v>150</v>
      </c>
      <c r="C174" s="15" t="s">
        <v>150</v>
      </c>
    </row>
    <row r="175" spans="1:3">
      <c r="A175" s="24" t="s">
        <v>212</v>
      </c>
      <c r="B175" s="15" t="s">
        <v>151</v>
      </c>
      <c r="C175" s="15" t="s">
        <v>151</v>
      </c>
    </row>
    <row r="176" spans="1:3">
      <c r="A176" s="24" t="s">
        <v>212</v>
      </c>
      <c r="B176" s="15" t="s">
        <v>152</v>
      </c>
      <c r="C176" s="15" t="s">
        <v>152</v>
      </c>
    </row>
    <row r="177" spans="1:3">
      <c r="A177" s="24" t="s">
        <v>212</v>
      </c>
      <c r="B177" s="15" t="s">
        <v>153</v>
      </c>
      <c r="C177" s="15" t="s">
        <v>153</v>
      </c>
    </row>
    <row r="178" spans="1:3">
      <c r="A178" s="24" t="s">
        <v>212</v>
      </c>
      <c r="B178" s="15" t="s">
        <v>154</v>
      </c>
      <c r="C178" s="15" t="s">
        <v>154</v>
      </c>
    </row>
    <row r="179" spans="1:3">
      <c r="A179" s="24" t="s">
        <v>212</v>
      </c>
      <c r="B179" s="15" t="s">
        <v>155</v>
      </c>
      <c r="C179" s="15" t="s">
        <v>155</v>
      </c>
    </row>
    <row r="180" spans="1:3">
      <c r="A180" s="24" t="s">
        <v>212</v>
      </c>
      <c r="B180" s="15" t="s">
        <v>156</v>
      </c>
      <c r="C180" s="15" t="s">
        <v>156</v>
      </c>
    </row>
    <row r="181" spans="1:3">
      <c r="A181" s="24" t="s">
        <v>212</v>
      </c>
      <c r="B181" s="15" t="s">
        <v>157</v>
      </c>
      <c r="C181" s="15" t="s">
        <v>157</v>
      </c>
    </row>
    <row r="182" spans="1:3">
      <c r="A182" s="24" t="s">
        <v>212</v>
      </c>
      <c r="B182" s="15" t="s">
        <v>158</v>
      </c>
      <c r="C182" s="15" t="s">
        <v>158</v>
      </c>
    </row>
    <row r="183" spans="1:3">
      <c r="A183" s="24" t="s">
        <v>212</v>
      </c>
      <c r="B183" s="15" t="s">
        <v>159</v>
      </c>
      <c r="C183" s="15" t="s">
        <v>159</v>
      </c>
    </row>
    <row r="184" spans="1:3">
      <c r="A184" s="24" t="s">
        <v>212</v>
      </c>
      <c r="B184" s="15" t="s">
        <v>249</v>
      </c>
      <c r="C184" s="15" t="s">
        <v>249</v>
      </c>
    </row>
    <row r="185" spans="1:3">
      <c r="A185" s="24" t="s">
        <v>212</v>
      </c>
      <c r="B185" s="15" t="s">
        <v>250</v>
      </c>
      <c r="C185" s="15" t="s">
        <v>250</v>
      </c>
    </row>
    <row r="186" spans="1:3">
      <c r="A186" s="24" t="s">
        <v>212</v>
      </c>
      <c r="B186" s="15" t="s">
        <v>251</v>
      </c>
      <c r="C186" s="15" t="s">
        <v>251</v>
      </c>
    </row>
    <row r="187" spans="1:3">
      <c r="A187" s="24" t="s">
        <v>212</v>
      </c>
      <c r="B187" s="12" t="s">
        <v>77</v>
      </c>
      <c r="C187" s="12" t="s">
        <v>77</v>
      </c>
    </row>
    <row r="188" spans="1:3">
      <c r="A188" s="4"/>
      <c r="B188" s="14"/>
      <c r="C188" s="14"/>
    </row>
    <row r="189" spans="1:3">
      <c r="A189" s="4"/>
      <c r="B189" s="18"/>
      <c r="C189" s="18"/>
    </row>
    <row r="190" spans="1:3">
      <c r="A190" s="4"/>
      <c r="B190" s="18"/>
      <c r="C190" s="18"/>
    </row>
    <row r="191" spans="1:3">
      <c r="A191" s="4"/>
      <c r="B191" s="18"/>
      <c r="C191" s="18"/>
    </row>
  </sheetData>
  <phoneticPr fontId="8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J44"/>
  <sheetViews>
    <sheetView zoomScale="70" zoomScaleNormal="70" workbookViewId="0">
      <pane xSplit="2" ySplit="1" topLeftCell="C9" activePane="bottomRight" state="frozen"/>
      <selection activeCell="A5" sqref="A5"/>
      <selection pane="topRight" activeCell="A5" sqref="A5"/>
      <selection pane="bottomLeft" activeCell="A5" sqref="A5"/>
      <selection pane="bottomRight" activeCell="F1" sqref="F1:J1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" customWidth="1"/>
    <col min="4" max="4" width="23" style="2" customWidth="1"/>
    <col min="5" max="5" width="9.109375" customWidth="1"/>
    <col min="6" max="6" width="21.5546875" style="2" customWidth="1"/>
    <col min="7" max="11" width="9.109375" customWidth="1"/>
  </cols>
  <sheetData>
    <row r="1" spans="1:10" ht="25.5" customHeight="1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2" t="s">
        <v>5</v>
      </c>
      <c r="G1" s="24" t="s">
        <v>37</v>
      </c>
      <c r="H1" s="33" t="s">
        <v>63</v>
      </c>
      <c r="I1" s="34" t="s">
        <v>277</v>
      </c>
      <c r="J1" s="34" t="s">
        <v>278</v>
      </c>
    </row>
    <row r="2" spans="1:10" s="6" customFormat="1" ht="27" customHeight="1">
      <c r="A2" s="10" t="s">
        <v>6</v>
      </c>
      <c r="B2" s="10" t="s">
        <v>6</v>
      </c>
      <c r="C2" s="9"/>
      <c r="D2" s="9"/>
      <c r="F2" s="9"/>
      <c r="I2" s="9"/>
      <c r="J2" s="9"/>
    </row>
    <row r="3" spans="1:10" s="6" customFormat="1" ht="25.5" customHeight="1">
      <c r="A3" s="10" t="s">
        <v>7</v>
      </c>
      <c r="B3" s="10" t="s">
        <v>7</v>
      </c>
      <c r="C3" s="9"/>
      <c r="D3" s="9"/>
      <c r="F3" s="9"/>
      <c r="I3" s="9"/>
      <c r="J3" s="9"/>
    </row>
    <row r="4" spans="1:10" s="6" customFormat="1" ht="25.5" customHeight="1">
      <c r="A4" s="10" t="s">
        <v>207</v>
      </c>
      <c r="B4" s="10" t="s">
        <v>207</v>
      </c>
      <c r="C4" s="9"/>
      <c r="D4" s="9"/>
      <c r="F4" s="9"/>
      <c r="I4" s="9"/>
      <c r="J4" s="9"/>
    </row>
    <row r="5" spans="1:10" s="6" customFormat="1" ht="25.5" customHeight="1">
      <c r="A5" s="10" t="s">
        <v>8</v>
      </c>
      <c r="B5" s="10" t="s">
        <v>208</v>
      </c>
      <c r="C5" s="9"/>
      <c r="D5" s="9"/>
      <c r="F5" s="9"/>
      <c r="I5" s="9"/>
      <c r="J5" s="9"/>
    </row>
    <row r="6" spans="1:10" s="6" customFormat="1" ht="25.5" customHeight="1">
      <c r="A6" s="10" t="s">
        <v>209</v>
      </c>
      <c r="B6" s="10" t="s">
        <v>210</v>
      </c>
      <c r="C6" s="9"/>
      <c r="D6" s="9"/>
      <c r="F6" s="9"/>
      <c r="I6" s="9"/>
      <c r="J6" s="9"/>
    </row>
    <row r="7" spans="1:10" s="6" customFormat="1" ht="25.5" customHeight="1">
      <c r="A7" s="4" t="s">
        <v>211</v>
      </c>
      <c r="B7" s="5" t="s">
        <v>212</v>
      </c>
      <c r="C7" s="5" t="s">
        <v>213</v>
      </c>
      <c r="D7" s="9"/>
      <c r="E7" s="6" t="s">
        <v>12</v>
      </c>
      <c r="F7" s="9"/>
    </row>
    <row r="8" spans="1:10" ht="25.5" customHeight="1">
      <c r="A8" s="24" t="s">
        <v>13</v>
      </c>
      <c r="B8" s="24" t="s">
        <v>71</v>
      </c>
      <c r="C8" s="27" t="s">
        <v>218</v>
      </c>
      <c r="E8" t="s">
        <v>12</v>
      </c>
      <c r="F8" s="25" t="s">
        <v>214</v>
      </c>
    </row>
    <row r="9" spans="1:10" s="6" customFormat="1" ht="25.5" customHeight="1">
      <c r="A9" s="6" t="str">
        <f>"select_one "&amp;B9</f>
        <v>select_one ZONA</v>
      </c>
      <c r="B9" s="26" t="s">
        <v>38</v>
      </c>
      <c r="C9" s="28" t="s">
        <v>38</v>
      </c>
      <c r="D9" s="9"/>
      <c r="E9" s="6" t="s">
        <v>12</v>
      </c>
      <c r="F9" s="9"/>
    </row>
    <row r="10" spans="1:10" s="6" customFormat="1" ht="25.5" customHeight="1">
      <c r="A10" s="10" t="s">
        <v>215</v>
      </c>
      <c r="B10" s="10" t="s">
        <v>216</v>
      </c>
      <c r="C10" s="9"/>
      <c r="D10" s="9"/>
      <c r="F10" s="9"/>
      <c r="I10" s="10" t="s">
        <v>217</v>
      </c>
      <c r="J10" s="9"/>
    </row>
    <row r="11" spans="1:10" s="6" customFormat="1" ht="25.5" customHeight="1">
      <c r="A11" s="6" t="str">
        <f>"select_one "&amp;B11</f>
        <v>select_one SEXO</v>
      </c>
      <c r="B11" s="26" t="s">
        <v>28</v>
      </c>
      <c r="C11" s="29" t="s">
        <v>219</v>
      </c>
      <c r="D11" s="9"/>
      <c r="E11" s="6" t="s">
        <v>12</v>
      </c>
      <c r="F11" s="9"/>
    </row>
    <row r="12" spans="1:10" s="6" customFormat="1" ht="25.5" customHeight="1">
      <c r="A12" s="6" t="s">
        <v>14</v>
      </c>
      <c r="B12" s="6" t="s">
        <v>15</v>
      </c>
      <c r="C12" s="29" t="s">
        <v>220</v>
      </c>
      <c r="D12" s="9"/>
      <c r="E12" s="6" t="s">
        <v>12</v>
      </c>
      <c r="F12" s="9"/>
    </row>
    <row r="13" spans="1:10" s="6" customFormat="1" ht="25.5" customHeight="1">
      <c r="A13" s="6" t="s">
        <v>16</v>
      </c>
      <c r="B13" s="6" t="s">
        <v>17</v>
      </c>
      <c r="C13" s="29" t="s">
        <v>221</v>
      </c>
      <c r="D13" s="9"/>
      <c r="E13" s="6" t="s">
        <v>12</v>
      </c>
      <c r="F13" s="9"/>
    </row>
    <row r="14" spans="1:10" s="6" customFormat="1" ht="25.5" customHeight="1">
      <c r="A14" s="6" t="s">
        <v>18</v>
      </c>
      <c r="B14" s="6" t="s">
        <v>19</v>
      </c>
      <c r="C14" s="29" t="s">
        <v>222</v>
      </c>
      <c r="D14" s="9" t="s">
        <v>20</v>
      </c>
      <c r="E14" s="6" t="s">
        <v>12</v>
      </c>
      <c r="F14" s="9"/>
    </row>
    <row r="15" spans="1:10" s="6" customFormat="1" ht="25.5" customHeight="1">
      <c r="A15" s="6" t="str">
        <f t="shared" ref="A15" si="0">"select_one "&amp;B15</f>
        <v>select_one RELIGIAO</v>
      </c>
      <c r="B15" s="26" t="s">
        <v>31</v>
      </c>
      <c r="C15" s="29" t="s">
        <v>223</v>
      </c>
      <c r="D15" s="9"/>
      <c r="E15" s="6" t="s">
        <v>12</v>
      </c>
      <c r="F15" s="9"/>
    </row>
    <row r="16" spans="1:10" ht="25.5" customHeight="1">
      <c r="A16" t="str">
        <f t="shared" ref="A16" si="1">"select_one "&amp;B16</f>
        <v>select_one AVAL_ADM</v>
      </c>
      <c r="B16" s="4" t="s">
        <v>122</v>
      </c>
      <c r="C16" s="16" t="s">
        <v>172</v>
      </c>
      <c r="E16" t="s">
        <v>12</v>
      </c>
    </row>
    <row r="17" spans="1:6" ht="25.5" customHeight="1">
      <c r="A17" t="str">
        <f>"select_one "&amp;B17</f>
        <v>select_one AVAL_ADM2</v>
      </c>
      <c r="B17" s="4" t="s">
        <v>72</v>
      </c>
      <c r="C17" s="17" t="s">
        <v>173</v>
      </c>
      <c r="E17" t="s">
        <v>12</v>
      </c>
      <c r="F17"/>
    </row>
    <row r="18" spans="1:6" ht="25.5" customHeight="1">
      <c r="A18" t="str">
        <f>"select_one "&amp;B18</f>
        <v>select_one AVAL_GOV</v>
      </c>
      <c r="B18" s="4" t="s">
        <v>123</v>
      </c>
      <c r="C18" s="17" t="s">
        <v>174</v>
      </c>
      <c r="E18" t="s">
        <v>12</v>
      </c>
      <c r="F18"/>
    </row>
    <row r="19" spans="1:6" ht="25.5" customHeight="1">
      <c r="A19" t="str">
        <f>"select_one "&amp;B19</f>
        <v>select_one AVAL_PRES</v>
      </c>
      <c r="B19" s="4" t="s">
        <v>124</v>
      </c>
      <c r="C19" s="17" t="s">
        <v>175</v>
      </c>
      <c r="E19" t="s">
        <v>12</v>
      </c>
      <c r="F19"/>
    </row>
    <row r="20" spans="1:6" ht="25.5" customHeight="1">
      <c r="A20" t="str">
        <f t="shared" ref="A20" si="2">"select_one "&amp;B20</f>
        <v>select_one LIDER</v>
      </c>
      <c r="B20" s="4" t="s">
        <v>177</v>
      </c>
      <c r="C20" s="17" t="s">
        <v>176</v>
      </c>
      <c r="E20" t="s">
        <v>12</v>
      </c>
      <c r="F20"/>
    </row>
    <row r="21" spans="1:6" ht="25.5" customHeight="1">
      <c r="A21" s="4" t="s">
        <v>13</v>
      </c>
      <c r="B21" s="4" t="s">
        <v>179</v>
      </c>
      <c r="C21" s="16" t="s">
        <v>178</v>
      </c>
      <c r="D21" s="5" t="s">
        <v>126</v>
      </c>
      <c r="E21" t="s">
        <v>12</v>
      </c>
      <c r="F21"/>
    </row>
    <row r="22" spans="1:6" ht="25.5" customHeight="1">
      <c r="A22" s="4" t="s">
        <v>13</v>
      </c>
      <c r="B22" s="4" t="s">
        <v>181</v>
      </c>
      <c r="C22" s="16" t="s">
        <v>180</v>
      </c>
      <c r="D22" s="5" t="s">
        <v>126</v>
      </c>
      <c r="E22" t="s">
        <v>12</v>
      </c>
      <c r="F22"/>
    </row>
    <row r="23" spans="1:6" ht="25.5" customHeight="1">
      <c r="A23" s="4" t="s">
        <v>13</v>
      </c>
      <c r="B23" s="4" t="s">
        <v>183</v>
      </c>
      <c r="C23" s="16" t="s">
        <v>182</v>
      </c>
      <c r="D23" s="5" t="s">
        <v>126</v>
      </c>
      <c r="E23" t="s">
        <v>12</v>
      </c>
      <c r="F23"/>
    </row>
    <row r="24" spans="1:6" ht="25.5" customHeight="1">
      <c r="A24" t="str">
        <f>"select_one "&amp;B24</f>
        <v>select_one INDIC</v>
      </c>
      <c r="B24" s="4" t="s">
        <v>103</v>
      </c>
      <c r="C24" s="17" t="s">
        <v>252</v>
      </c>
      <c r="D24" s="5" t="s">
        <v>127</v>
      </c>
      <c r="E24" t="s">
        <v>12</v>
      </c>
      <c r="F24"/>
    </row>
    <row r="25" spans="1:6" ht="25.5" customHeight="1">
      <c r="A25" s="4" t="s">
        <v>13</v>
      </c>
      <c r="B25" s="4" t="s">
        <v>187</v>
      </c>
      <c r="C25" s="22" t="s">
        <v>184</v>
      </c>
      <c r="D25" s="5" t="s">
        <v>126</v>
      </c>
      <c r="E25" t="s">
        <v>12</v>
      </c>
      <c r="F25"/>
    </row>
    <row r="26" spans="1:6" ht="25.5" customHeight="1">
      <c r="A26" t="str">
        <f>"select_one "&amp;B26</f>
        <v>select_one DEP2</v>
      </c>
      <c r="B26" s="4" t="s">
        <v>188</v>
      </c>
      <c r="C26" s="21" t="s">
        <v>185</v>
      </c>
      <c r="D26" s="5" t="s">
        <v>127</v>
      </c>
      <c r="E26" t="s">
        <v>12</v>
      </c>
      <c r="F26"/>
    </row>
    <row r="27" spans="1:6" ht="25.5" customHeight="1">
      <c r="A27" s="4" t="s">
        <v>13</v>
      </c>
      <c r="B27" s="4" t="s">
        <v>190</v>
      </c>
      <c r="C27" s="22" t="s">
        <v>186</v>
      </c>
      <c r="D27" s="5" t="s">
        <v>126</v>
      </c>
      <c r="E27" t="s">
        <v>12</v>
      </c>
      <c r="F27"/>
    </row>
    <row r="28" spans="1:6" ht="25.5" customHeight="1">
      <c r="A28" t="str">
        <f>"select_one "&amp;B28</f>
        <v>select_one DEP4</v>
      </c>
      <c r="B28" s="4" t="s">
        <v>191</v>
      </c>
      <c r="C28" s="21" t="s">
        <v>125</v>
      </c>
      <c r="D28" s="5" t="s">
        <v>127</v>
      </c>
      <c r="E28" t="s">
        <v>12</v>
      </c>
      <c r="F28"/>
    </row>
    <row r="29" spans="1:6" ht="25.5" customHeight="1">
      <c r="A29" t="str">
        <f>"select_one "&amp;B29</f>
        <v>select_one GOV</v>
      </c>
      <c r="B29" s="4" t="s">
        <v>82</v>
      </c>
      <c r="C29" s="21" t="s">
        <v>189</v>
      </c>
      <c r="D29" s="21"/>
      <c r="E29" t="s">
        <v>12</v>
      </c>
      <c r="F29"/>
    </row>
    <row r="30" spans="1:6" ht="25.5" customHeight="1">
      <c r="A30" t="str">
        <f t="shared" ref="A30" si="3">"select_multiple "&amp;B30</f>
        <v>select_multiple SENA1</v>
      </c>
      <c r="B30" s="4" t="s">
        <v>194</v>
      </c>
      <c r="C30" s="21" t="s">
        <v>192</v>
      </c>
      <c r="D30" s="5" t="s">
        <v>193</v>
      </c>
      <c r="E30" t="s">
        <v>12</v>
      </c>
      <c r="F30"/>
    </row>
    <row r="31" spans="1:6" ht="25.5" customHeight="1">
      <c r="A31" t="str">
        <f t="shared" ref="A31" si="4">"select_one "&amp;B31</f>
        <v>select_one PRES</v>
      </c>
      <c r="B31" s="4" t="s">
        <v>100</v>
      </c>
      <c r="C31" s="16" t="s">
        <v>253</v>
      </c>
      <c r="D31" s="5"/>
      <c r="E31" t="s">
        <v>12</v>
      </c>
      <c r="F31"/>
    </row>
    <row r="32" spans="1:6" s="6" customFormat="1" ht="24.75" customHeight="1">
      <c r="A32" s="7" t="s">
        <v>9</v>
      </c>
      <c r="B32" s="6" t="s">
        <v>10</v>
      </c>
      <c r="C32" s="9" t="s">
        <v>11</v>
      </c>
      <c r="D32" s="9"/>
      <c r="E32" s="6" t="s">
        <v>12</v>
      </c>
      <c r="F32" s="9"/>
    </row>
    <row r="33" spans="1:10" s="6" customFormat="1" ht="25.5" customHeight="1">
      <c r="A33" s="10" t="s">
        <v>224</v>
      </c>
      <c r="B33" s="10" t="s">
        <v>225</v>
      </c>
      <c r="C33" s="9"/>
      <c r="D33" s="9"/>
      <c r="F33" s="9"/>
      <c r="I33" s="9"/>
      <c r="J33" s="30" t="s">
        <v>226</v>
      </c>
    </row>
    <row r="34" spans="1:10" s="6" customFormat="1" ht="25.5" customHeight="1">
      <c r="A34" s="10" t="s">
        <v>224</v>
      </c>
      <c r="B34" s="10" t="s">
        <v>227</v>
      </c>
      <c r="C34" s="9"/>
      <c r="D34" s="9"/>
      <c r="F34" s="9"/>
      <c r="I34" s="9"/>
      <c r="J34" s="30" t="s">
        <v>228</v>
      </c>
    </row>
    <row r="35" spans="1:10" s="6" customFormat="1" ht="25.5" customHeight="1">
      <c r="A35" s="10" t="s">
        <v>224</v>
      </c>
      <c r="B35" s="10" t="s">
        <v>229</v>
      </c>
      <c r="C35" s="9"/>
      <c r="D35" s="9"/>
      <c r="F35" s="9"/>
      <c r="I35" s="9"/>
      <c r="J35" s="30" t="s">
        <v>230</v>
      </c>
    </row>
    <row r="36" spans="1:10" s="6" customFormat="1" ht="25.5" customHeight="1">
      <c r="A36" s="10" t="s">
        <v>224</v>
      </c>
      <c r="B36" s="10" t="s">
        <v>231</v>
      </c>
      <c r="C36" s="9"/>
      <c r="D36" s="9"/>
      <c r="F36" s="9"/>
      <c r="I36" s="9"/>
      <c r="J36" s="30" t="s">
        <v>232</v>
      </c>
    </row>
    <row r="37" spans="1:10" s="6" customFormat="1" ht="25.5" customHeight="1">
      <c r="A37" s="10" t="s">
        <v>224</v>
      </c>
      <c r="B37" s="10" t="s">
        <v>233</v>
      </c>
      <c r="C37" s="9"/>
      <c r="D37" s="9"/>
      <c r="F37" s="9"/>
      <c r="I37" s="9"/>
      <c r="J37" s="30" t="s">
        <v>234</v>
      </c>
    </row>
    <row r="38" spans="1:10" s="6" customFormat="1" ht="25.5" customHeight="1">
      <c r="A38" s="10" t="s">
        <v>224</v>
      </c>
      <c r="B38" s="10" t="s">
        <v>235</v>
      </c>
      <c r="C38" s="9"/>
      <c r="D38" s="9"/>
      <c r="F38" s="9"/>
      <c r="I38" s="9"/>
      <c r="J38" s="30" t="s">
        <v>236</v>
      </c>
    </row>
    <row r="39" spans="1:10" s="6" customFormat="1" ht="25.5" customHeight="1">
      <c r="A39" s="10" t="s">
        <v>224</v>
      </c>
      <c r="B39" s="10" t="s">
        <v>237</v>
      </c>
      <c r="C39" s="9"/>
      <c r="D39" s="9"/>
      <c r="F39" s="9"/>
      <c r="I39" s="9"/>
      <c r="J39" s="30" t="s">
        <v>238</v>
      </c>
    </row>
    <row r="40" spans="1:10" s="6" customFormat="1" ht="25.5" customHeight="1">
      <c r="A40" s="10" t="s">
        <v>224</v>
      </c>
      <c r="B40" s="10" t="s">
        <v>239</v>
      </c>
      <c r="C40" s="9"/>
      <c r="D40" s="9"/>
      <c r="F40" s="9"/>
      <c r="I40" s="9"/>
      <c r="J40" s="30" t="s">
        <v>240</v>
      </c>
    </row>
    <row r="41" spans="1:10" s="6" customFormat="1" ht="25.5" customHeight="1">
      <c r="A41" s="10" t="s">
        <v>224</v>
      </c>
      <c r="B41" s="10" t="s">
        <v>241</v>
      </c>
      <c r="C41" s="9"/>
      <c r="D41" s="9"/>
      <c r="F41" s="9"/>
      <c r="I41" s="9"/>
      <c r="J41" s="30" t="s">
        <v>242</v>
      </c>
    </row>
    <row r="42" spans="1:10" s="6" customFormat="1" ht="25.5" customHeight="1">
      <c r="A42" s="10" t="s">
        <v>224</v>
      </c>
      <c r="B42" s="10" t="s">
        <v>243</v>
      </c>
      <c r="C42" s="9"/>
      <c r="D42" s="9"/>
      <c r="F42" s="9"/>
      <c r="I42" s="9"/>
      <c r="J42" s="30" t="s">
        <v>244</v>
      </c>
    </row>
    <row r="43" spans="1:10" s="6" customFormat="1" ht="25.5" customHeight="1">
      <c r="A43" s="10" t="s">
        <v>224</v>
      </c>
      <c r="B43" s="10" t="s">
        <v>245</v>
      </c>
      <c r="C43" s="9"/>
      <c r="D43" s="9"/>
      <c r="F43" s="9"/>
      <c r="I43" s="9"/>
      <c r="J43" s="30" t="s">
        <v>246</v>
      </c>
    </row>
    <row r="44" spans="1:10" s="6" customFormat="1" ht="25.5" customHeight="1">
      <c r="A44" s="10" t="s">
        <v>224</v>
      </c>
      <c r="B44" s="10" t="s">
        <v>247</v>
      </c>
      <c r="C44" s="9"/>
      <c r="D44" s="9"/>
      <c r="F44" s="9"/>
      <c r="I44" s="9"/>
      <c r="J44" s="30" t="s">
        <v>248</v>
      </c>
    </row>
  </sheetData>
  <phoneticPr fontId="8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choices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2026-07-05T15:15:21Z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